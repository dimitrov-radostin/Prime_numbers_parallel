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MI\semester_2\Parallel_Programming_Python\primes\run_data\"/>
    </mc:Choice>
  </mc:AlternateContent>
  <xr:revisionPtr revIDLastSave="0" documentId="13_ncr:40009_{DAB3A92D-522F-4227-896C-59938A48B71E}" xr6:coauthVersionLast="47" xr6:coauthVersionMax="47" xr10:uidLastSave="{00000000-0000-0000-0000-000000000000}"/>
  <bookViews>
    <workbookView xWindow="3570" yWindow="-20325" windowWidth="26970" windowHeight="19065"/>
  </bookViews>
  <sheets>
    <sheet name="mem_time_results_2026-07-02T19-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E2" i="1"/>
  <c r="G2" i="1"/>
  <c r="I2" i="1"/>
  <c r="C3" i="1"/>
  <c r="E3" i="1"/>
  <c r="G3" i="1"/>
  <c r="I3" i="1"/>
  <c r="C4" i="1"/>
  <c r="E4" i="1"/>
  <c r="G4" i="1"/>
  <c r="I4" i="1"/>
  <c r="C5" i="1"/>
  <c r="E5" i="1"/>
  <c r="G5" i="1"/>
  <c r="I5" i="1"/>
  <c r="C7" i="1"/>
  <c r="E7" i="1"/>
  <c r="G7" i="1"/>
  <c r="I7" i="1"/>
  <c r="C8" i="1"/>
  <c r="E8" i="1"/>
  <c r="G8" i="1"/>
  <c r="I8" i="1"/>
  <c r="C9" i="1"/>
  <c r="E9" i="1"/>
  <c r="G9" i="1"/>
  <c r="I9" i="1"/>
  <c r="C10" i="1"/>
  <c r="E10" i="1"/>
  <c r="G10" i="1"/>
  <c r="I10" i="1"/>
  <c r="C12" i="1"/>
  <c r="E12" i="1"/>
  <c r="G12" i="1"/>
  <c r="I12" i="1"/>
  <c r="C13" i="1"/>
  <c r="E13" i="1"/>
  <c r="G13" i="1"/>
  <c r="I13" i="1"/>
  <c r="C14" i="1"/>
  <c r="E14" i="1"/>
  <c r="G14" i="1"/>
  <c r="I14" i="1"/>
  <c r="C15" i="1"/>
  <c r="E15" i="1"/>
  <c r="G15" i="1"/>
  <c r="I15" i="1"/>
  <c r="L44" i="1" l="1"/>
  <c r="L42" i="1"/>
  <c r="M42" i="1"/>
  <c r="N42" i="1"/>
  <c r="O42" i="1"/>
  <c r="L43" i="1"/>
  <c r="M43" i="1"/>
  <c r="N43" i="1"/>
  <c r="O43" i="1"/>
  <c r="M44" i="1"/>
  <c r="N44" i="1"/>
  <c r="O44" i="1"/>
  <c r="C31" i="1"/>
  <c r="C30" i="1"/>
  <c r="C29" i="1"/>
  <c r="C28" i="1"/>
  <c r="H23" i="1"/>
  <c r="H31" i="1" s="1"/>
  <c r="K38" i="1" s="1"/>
  <c r="H22" i="1"/>
  <c r="H30" i="1" s="1"/>
  <c r="H21" i="1"/>
  <c r="H20" i="1"/>
  <c r="I20" i="1" s="1"/>
  <c r="F23" i="1"/>
  <c r="F22" i="1"/>
  <c r="G22" i="1" s="1"/>
  <c r="F21" i="1"/>
  <c r="F20" i="1"/>
  <c r="G20" i="1" s="1"/>
  <c r="C21" i="1"/>
  <c r="C22" i="1"/>
  <c r="C23" i="1"/>
  <c r="C20" i="1"/>
  <c r="G25" i="1"/>
  <c r="D21" i="1"/>
  <c r="D29" i="1" s="1"/>
  <c r="D22" i="1"/>
  <c r="D23" i="1"/>
  <c r="D20" i="1"/>
  <c r="D28" i="1" s="1"/>
  <c r="I21" i="1" l="1"/>
  <c r="I23" i="1"/>
  <c r="E22" i="1"/>
  <c r="E28" i="1"/>
  <c r="F31" i="1"/>
  <c r="K37" i="1" s="1"/>
  <c r="F30" i="1"/>
  <c r="D31" i="1"/>
  <c r="H29" i="1"/>
  <c r="I29" i="1" s="1"/>
  <c r="F28" i="1"/>
  <c r="G28" i="1" s="1"/>
  <c r="E21" i="1"/>
  <c r="H28" i="1"/>
  <c r="I28" i="1" s="1"/>
  <c r="E20" i="1"/>
  <c r="G21" i="1"/>
  <c r="F29" i="1"/>
  <c r="G29" i="1" s="1"/>
  <c r="D30" i="1"/>
  <c r="I30" i="1" s="1"/>
  <c r="E23" i="1"/>
  <c r="E29" i="1"/>
  <c r="I22" i="1"/>
  <c r="G23" i="1"/>
  <c r="E30" i="1" l="1"/>
  <c r="E31" i="1"/>
  <c r="K36" i="1"/>
  <c r="I31" i="1"/>
  <c r="G31" i="1"/>
  <c r="G30" i="1"/>
  <c r="K42" i="1" l="1"/>
  <c r="K44" i="1"/>
  <c r="K43" i="1"/>
</calcChain>
</file>

<file path=xl/sharedStrings.xml><?xml version="1.0" encoding="utf-8"?>
<sst xmlns="http://schemas.openxmlformats.org/spreadsheetml/2006/main" count="39" uniqueCount="29">
  <si>
    <t>serial_bitarray_sieve</t>
  </si>
  <si>
    <t>serial_bool_sieve</t>
  </si>
  <si>
    <t>bool:bitarray</t>
  </si>
  <si>
    <t xml:space="preserve">int </t>
  </si>
  <si>
    <t>int:bitarray</t>
  </si>
  <si>
    <t>bit:expected</t>
  </si>
  <si>
    <t>N</t>
  </si>
  <si>
    <t>Expected size 
[MB]</t>
  </si>
  <si>
    <t>bitarray_sieve memory [MB]</t>
  </si>
  <si>
    <t>int_sieve
memory [MB]</t>
  </si>
  <si>
    <t>bool_sieve
memory [MB]</t>
  </si>
  <si>
    <t>bit/expected</t>
  </si>
  <si>
    <t>bool/bitarray</t>
  </si>
  <si>
    <t>int/bitarray</t>
  </si>
  <si>
    <t>bitarray_sieve corrected memory [MB]</t>
  </si>
  <si>
    <t>bool_sieve
corrected memory [MB]</t>
  </si>
  <si>
    <t>int_sieve
corrected memory [MB]</t>
  </si>
  <si>
    <t>Correction of all measured memories by the same amount of (in MB):</t>
  </si>
  <si>
    <t>Memory use for the 3 variants:</t>
  </si>
  <si>
    <t>Executtion time dependence of the memory</t>
  </si>
  <si>
    <t>bitarray</t>
  </si>
  <si>
    <t>memory</t>
  </si>
  <si>
    <t>time</t>
  </si>
  <si>
    <t>bool</t>
  </si>
  <si>
    <t>int</t>
  </si>
  <si>
    <t>memory ratio</t>
  </si>
  <si>
    <t>run1</t>
  </si>
  <si>
    <t>run2</t>
  </si>
  <si>
    <t>run3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</si>
</sst>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72" formatCode="0.000E+00"/>
    <numFmt numFmtId="174" formatCode="0E+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2" fontId="0" fillId="0" borderId="0" xfId="0" applyNumberFormat="1"/>
    <xf numFmtId="165" fontId="0" fillId="0" borderId="0" xfId="0" applyNumberFormat="1"/>
    <xf numFmtId="174" fontId="0" fillId="0" borderId="0" xfId="0" applyNumberFormat="1"/>
    <xf numFmtId="0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174" fontId="0" fillId="0" borderId="10" xfId="0" applyNumberFormat="1" applyBorder="1"/>
    <xf numFmtId="0" fontId="0" fillId="0" borderId="10" xfId="0" applyNumberFormat="1" applyBorder="1"/>
    <xf numFmtId="165" fontId="0" fillId="0" borderId="10" xfId="0" applyNumberFormat="1" applyBorder="1"/>
    <xf numFmtId="2" fontId="0" fillId="0" borderId="10" xfId="0" applyNumberFormat="1" applyBorder="1"/>
    <xf numFmtId="0" fontId="0" fillId="0" borderId="10" xfId="0" applyBorder="1"/>
    <xf numFmtId="2" fontId="0" fillId="33" borderId="10" xfId="0" applyNumberFormat="1" applyFill="1" applyBorder="1"/>
    <xf numFmtId="174" fontId="16" fillId="0" borderId="10" xfId="0" applyNumberFormat="1" applyFont="1" applyBorder="1" applyAlignment="1">
      <alignment horizontal="center"/>
    </xf>
    <xf numFmtId="165" fontId="16" fillId="0" borderId="10" xfId="0" applyNumberFormat="1" applyFont="1" applyBorder="1" applyAlignment="1">
      <alignment horizontal="left"/>
    </xf>
    <xf numFmtId="174" fontId="16" fillId="0" borderId="10" xfId="0" applyNumberFormat="1" applyFont="1" applyBorder="1" applyAlignment="1">
      <alignment horizontal="center"/>
    </xf>
    <xf numFmtId="0" fontId="16" fillId="0" borderId="10" xfId="0" applyFont="1" applyBorder="1"/>
    <xf numFmtId="174" fontId="18" fillId="0" borderId="10" xfId="0" applyNumberFormat="1" applyFont="1" applyBorder="1"/>
    <xf numFmtId="0" fontId="18" fillId="0" borderId="10" xfId="0" applyNumberFormat="1" applyFont="1" applyBorder="1"/>
    <xf numFmtId="172" fontId="18" fillId="0" borderId="10" xfId="0" applyNumberFormat="1" applyFont="1" applyBorder="1"/>
    <xf numFmtId="165" fontId="18" fillId="0" borderId="10" xfId="0" applyNumberFormat="1" applyFont="1" applyBorder="1"/>
    <xf numFmtId="164" fontId="18" fillId="0" borderId="10" xfId="0" applyNumberFormat="1" applyFont="1" applyBorder="1"/>
    <xf numFmtId="0" fontId="18" fillId="0" borderId="10" xfId="0" applyFont="1" applyBorder="1"/>
    <xf numFmtId="11" fontId="18" fillId="0" borderId="10" xfId="0" applyNumberFormat="1" applyFont="1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'mem_time_results_2026-07-02T19-'!$K$42:$K$44</c:f>
              <c:numCache>
                <c:formatCode>0.00</c:formatCode>
                <c:ptCount val="3"/>
                <c:pt idx="0">
                  <c:v>1</c:v>
                </c:pt>
                <c:pt idx="1">
                  <c:v>7.9879877536625727</c:v>
                </c:pt>
                <c:pt idx="2">
                  <c:v>63.890123366345733</c:v>
                </c:pt>
              </c:numCache>
            </c:numRef>
          </c:xVal>
          <c:yVal>
            <c:numRef>
              <c:f>'mem_time_results_2026-07-02T19-'!$L$42:$L$44</c:f>
              <c:numCache>
                <c:formatCode>0.00</c:formatCode>
                <c:ptCount val="3"/>
                <c:pt idx="0" formatCode="General">
                  <c:v>1</c:v>
                </c:pt>
                <c:pt idx="1">
                  <c:v>1.7581504298989483</c:v>
                </c:pt>
                <c:pt idx="2">
                  <c:v>1.459558417764109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C1-4B88-9ABB-3A619EDB2F9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'mem_time_results_2026-07-02T19-'!$K$42:$K$44</c:f>
              <c:numCache>
                <c:formatCode>0.00</c:formatCode>
                <c:ptCount val="3"/>
                <c:pt idx="0">
                  <c:v>1</c:v>
                </c:pt>
                <c:pt idx="1">
                  <c:v>7.9879877536625727</c:v>
                </c:pt>
                <c:pt idx="2">
                  <c:v>63.890123366345733</c:v>
                </c:pt>
              </c:numCache>
            </c:numRef>
          </c:xVal>
          <c:yVal>
            <c:numRef>
              <c:f>'mem_time_results_2026-07-02T19-'!$M$42:$M$44</c:f>
              <c:numCache>
                <c:formatCode>0.00</c:formatCode>
                <c:ptCount val="3"/>
                <c:pt idx="0" formatCode="General">
                  <c:v>1</c:v>
                </c:pt>
                <c:pt idx="1">
                  <c:v>1.6666636194811135</c:v>
                </c:pt>
                <c:pt idx="2">
                  <c:v>1.6341522352780768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C1-4B88-9ABB-3A619EDB2F9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'mem_time_results_2026-07-02T19-'!$K$42:$K$44</c:f>
              <c:numCache>
                <c:formatCode>0.00</c:formatCode>
                <c:ptCount val="3"/>
                <c:pt idx="0">
                  <c:v>1</c:v>
                </c:pt>
                <c:pt idx="1">
                  <c:v>7.9879877536625727</c:v>
                </c:pt>
                <c:pt idx="2">
                  <c:v>63.890123366345733</c:v>
                </c:pt>
              </c:numCache>
            </c:numRef>
          </c:xVal>
          <c:yVal>
            <c:numRef>
              <c:f>'mem_time_results_2026-07-02T19-'!$N$42:$N$44</c:f>
              <c:numCache>
                <c:formatCode>0.00</c:formatCode>
                <c:ptCount val="3"/>
                <c:pt idx="0" formatCode="General">
                  <c:v>1</c:v>
                </c:pt>
                <c:pt idx="1">
                  <c:v>1.6409013202512253</c:v>
                </c:pt>
                <c:pt idx="2">
                  <c:v>1.59277186875099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C1-4B88-9ABB-3A619EDB2F9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'mem_time_results_2026-07-02T19-'!$K$42:$K$44</c:f>
              <c:numCache>
                <c:formatCode>0.00</c:formatCode>
                <c:ptCount val="3"/>
                <c:pt idx="0">
                  <c:v>1</c:v>
                </c:pt>
                <c:pt idx="1">
                  <c:v>7.9879877536625727</c:v>
                </c:pt>
                <c:pt idx="2">
                  <c:v>63.890123366345733</c:v>
                </c:pt>
              </c:numCache>
            </c:numRef>
          </c:xVal>
          <c:yVal>
            <c:numRef>
              <c:f>'mem_time_results_2026-07-02T19-'!$O$42:$O$44</c:f>
              <c:numCache>
                <c:formatCode>0.00</c:formatCode>
                <c:ptCount val="3"/>
                <c:pt idx="0" formatCode="General">
                  <c:v>1</c:v>
                </c:pt>
                <c:pt idx="1">
                  <c:v>1.5560581024947864</c:v>
                </c:pt>
                <c:pt idx="2">
                  <c:v>1.5765176785365063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C1-4B88-9ABB-3A619EDB2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455759"/>
        <c:axId val="1754458255"/>
      </c:scatterChart>
      <c:valAx>
        <c:axId val="175445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458255"/>
        <c:crosses val="autoZero"/>
        <c:crossBetween val="midCat"/>
      </c:valAx>
      <c:valAx>
        <c:axId val="175445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45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20</xdr:row>
      <xdr:rowOff>9525</xdr:rowOff>
    </xdr:from>
    <xdr:to>
      <xdr:col>15</xdr:col>
      <xdr:colOff>590550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388CFC-1F56-43D5-8F2B-DF05A2AD0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topLeftCell="A10" workbookViewId="0">
      <selection activeCell="L14" sqref="L14"/>
    </sheetView>
  </sheetViews>
  <sheetFormatPr defaultRowHeight="15" x14ac:dyDescent="0.25"/>
  <cols>
    <col min="1" max="1" width="11.42578125" customWidth="1"/>
    <col min="2" max="2" width="10" bestFit="1" customWidth="1"/>
    <col min="3" max="3" width="15" customWidth="1"/>
    <col min="4" max="4" width="18.28515625" customWidth="1"/>
    <col min="5" max="5" width="13.5703125" customWidth="1"/>
    <col min="6" max="6" width="17.7109375" customWidth="1"/>
    <col min="7" max="7" width="14.28515625" customWidth="1"/>
    <col min="8" max="8" width="19" customWidth="1"/>
    <col min="9" max="10" width="12" bestFit="1" customWidth="1"/>
    <col min="11" max="11" width="14.5703125" customWidth="1"/>
    <col min="12" max="14" width="12" bestFit="1" customWidth="1"/>
    <col min="15" max="20" width="11.5703125" bestFit="1" customWidth="1"/>
  </cols>
  <sheetData>
    <row r="1" spans="1:9" s="5" customFormat="1" ht="30" x14ac:dyDescent="0.25">
      <c r="B1" s="19" t="s">
        <v>6</v>
      </c>
      <c r="C1" s="9" t="s">
        <v>7</v>
      </c>
      <c r="D1" s="19" t="s">
        <v>0</v>
      </c>
      <c r="E1" s="19" t="s">
        <v>5</v>
      </c>
      <c r="F1" s="19" t="s">
        <v>1</v>
      </c>
      <c r="G1" s="19" t="s">
        <v>2</v>
      </c>
      <c r="H1" s="19" t="s">
        <v>3</v>
      </c>
      <c r="I1" s="19" t="s">
        <v>4</v>
      </c>
    </row>
    <row r="2" spans="1:9" x14ac:dyDescent="0.25">
      <c r="A2" s="6" t="s">
        <v>26</v>
      </c>
      <c r="B2" s="20">
        <v>100000</v>
      </c>
      <c r="C2" s="21">
        <f>B2/8/10^5</f>
        <v>0.125</v>
      </c>
      <c r="D2" s="22">
        <v>142677.33333333299</v>
      </c>
      <c r="E2" s="23">
        <f>D2/(1.3*B2/8)</f>
        <v>8.7801435897435685</v>
      </c>
      <c r="F2" s="22">
        <v>233472</v>
      </c>
      <c r="G2" s="24">
        <f>F2/D2</f>
        <v>1.6363636363636402</v>
      </c>
      <c r="H2" s="22">
        <v>1101141.33333333</v>
      </c>
      <c r="I2" s="24">
        <f>H2/D2</f>
        <v>7.7177033492822913</v>
      </c>
    </row>
    <row r="3" spans="1:9" x14ac:dyDescent="0.25">
      <c r="A3" s="6"/>
      <c r="B3" s="20">
        <v>1000000</v>
      </c>
      <c r="C3" s="21">
        <f t="shared" ref="C3:C15" si="0">B3/8/10^5</f>
        <v>1.25</v>
      </c>
      <c r="D3" s="22">
        <v>690176</v>
      </c>
      <c r="E3" s="23">
        <f>D3/(1.3*B3/8)</f>
        <v>4.2472369230769234</v>
      </c>
      <c r="F3" s="22">
        <v>1701205.33333333</v>
      </c>
      <c r="G3" s="24">
        <f>F3/D3</f>
        <v>2.4648862512363947</v>
      </c>
      <c r="H3" s="22">
        <v>763221.33333333302</v>
      </c>
      <c r="I3" s="24">
        <f>H3/D3</f>
        <v>1.1058358061325415</v>
      </c>
    </row>
    <row r="4" spans="1:9" x14ac:dyDescent="0.25">
      <c r="A4" s="6"/>
      <c r="B4" s="20">
        <v>10000000</v>
      </c>
      <c r="C4" s="21">
        <f t="shared" si="0"/>
        <v>12.5</v>
      </c>
      <c r="D4" s="22">
        <v>6113280</v>
      </c>
      <c r="E4" s="23">
        <f>D4/(1.3*B4/8)</f>
        <v>3.7620184615384615</v>
      </c>
      <c r="F4" s="22">
        <v>4707669.3333333302</v>
      </c>
      <c r="G4" s="24">
        <f>F4/D4</f>
        <v>0.77007258514796151</v>
      </c>
      <c r="H4" s="22">
        <v>4808704</v>
      </c>
      <c r="I4" s="24">
        <f>H4/D4</f>
        <v>0.78659966499162481</v>
      </c>
    </row>
    <row r="5" spans="1:9" x14ac:dyDescent="0.25">
      <c r="A5" s="6"/>
      <c r="B5" s="20">
        <v>100000000</v>
      </c>
      <c r="C5" s="21">
        <f t="shared" si="0"/>
        <v>125</v>
      </c>
      <c r="D5" s="22">
        <v>45580970.666666597</v>
      </c>
      <c r="E5" s="23">
        <f>D5/(1.3*B5/8)</f>
        <v>2.8049828102564058</v>
      </c>
      <c r="F5" s="22">
        <v>45529770.666666597</v>
      </c>
      <c r="G5" s="24">
        <f>F5/D5</f>
        <v>0.99887672422830953</v>
      </c>
      <c r="H5" s="22">
        <v>45539328</v>
      </c>
      <c r="I5" s="24">
        <f>H5/D5</f>
        <v>0.99908640237235991</v>
      </c>
    </row>
    <row r="6" spans="1:9" x14ac:dyDescent="0.25">
      <c r="A6" s="6"/>
      <c r="B6" s="25"/>
      <c r="C6" s="21"/>
      <c r="D6" s="25"/>
      <c r="E6" s="23"/>
      <c r="F6" s="25"/>
      <c r="G6" s="24"/>
      <c r="H6" s="25"/>
      <c r="I6" s="24"/>
    </row>
    <row r="7" spans="1:9" x14ac:dyDescent="0.25">
      <c r="A7" s="6" t="s">
        <v>27</v>
      </c>
      <c r="B7" s="26">
        <v>100000</v>
      </c>
      <c r="C7" s="21">
        <f t="shared" si="0"/>
        <v>0.125</v>
      </c>
      <c r="D7" s="26">
        <v>35703466.666666597</v>
      </c>
      <c r="E7" s="23">
        <f>D7/(1.3*B7/8)</f>
        <v>2197.1364102564062</v>
      </c>
      <c r="F7" s="26">
        <v>35814058.666666597</v>
      </c>
      <c r="G7" s="24">
        <f t="shared" ref="G7:G15" si="1">F7/D7</f>
        <v>1.0030975143403442</v>
      </c>
      <c r="H7" s="26">
        <v>36581376</v>
      </c>
      <c r="I7" s="24">
        <f t="shared" ref="I7:I14" si="2">H7/D7</f>
        <v>1.0245889101338452</v>
      </c>
    </row>
    <row r="8" spans="1:9" x14ac:dyDescent="0.25">
      <c r="A8" s="6"/>
      <c r="B8" s="26">
        <v>1000000</v>
      </c>
      <c r="C8" s="21">
        <f t="shared" si="0"/>
        <v>1.25</v>
      </c>
      <c r="D8" s="26">
        <v>36220928</v>
      </c>
      <c r="E8" s="23">
        <f>D8/(1.3*B8/8)</f>
        <v>222.89801846153847</v>
      </c>
      <c r="F8" s="26">
        <v>36869461.333333299</v>
      </c>
      <c r="G8" s="24">
        <f t="shared" si="1"/>
        <v>1.0179049342229249</v>
      </c>
      <c r="H8" s="26">
        <v>43801258.666666597</v>
      </c>
      <c r="I8" s="24">
        <f t="shared" si="2"/>
        <v>1.2092804101172283</v>
      </c>
    </row>
    <row r="9" spans="1:9" x14ac:dyDescent="0.25">
      <c r="A9" s="6"/>
      <c r="B9" s="26">
        <v>10000000</v>
      </c>
      <c r="C9" s="21">
        <f t="shared" si="0"/>
        <v>12.5</v>
      </c>
      <c r="D9" s="26">
        <v>40737450.666666597</v>
      </c>
      <c r="E9" s="23">
        <f>D9/(1.3*B9/8)</f>
        <v>25.069200410256368</v>
      </c>
      <c r="F9" s="26">
        <v>47209130.666666597</v>
      </c>
      <c r="G9" s="24">
        <f t="shared" si="1"/>
        <v>1.158863156483561</v>
      </c>
      <c r="H9" s="26">
        <v>126040746.666666</v>
      </c>
      <c r="I9" s="24">
        <f t="shared" si="2"/>
        <v>3.0939772765358335</v>
      </c>
    </row>
    <row r="10" spans="1:9" x14ac:dyDescent="0.25">
      <c r="A10" s="6"/>
      <c r="B10" s="26">
        <v>100000000</v>
      </c>
      <c r="C10" s="21">
        <f t="shared" si="0"/>
        <v>125</v>
      </c>
      <c r="D10" s="26">
        <v>93503488</v>
      </c>
      <c r="E10" s="23">
        <f>D10/(1.3*B10/8)</f>
        <v>5.7540608000000004</v>
      </c>
      <c r="F10" s="26">
        <v>178421760</v>
      </c>
      <c r="G10" s="24">
        <f t="shared" si="1"/>
        <v>1.9081829332398808</v>
      </c>
      <c r="H10" s="26">
        <v>980206933.33333302</v>
      </c>
      <c r="I10" s="24">
        <f t="shared" si="2"/>
        <v>10.483105542900528</v>
      </c>
    </row>
    <row r="11" spans="1:9" x14ac:dyDescent="0.25">
      <c r="B11" s="14"/>
      <c r="C11" s="11"/>
      <c r="D11" s="14"/>
      <c r="E11" s="12"/>
      <c r="F11" s="14"/>
      <c r="G11" s="27"/>
      <c r="H11" s="14"/>
      <c r="I11" s="27"/>
    </row>
    <row r="12" spans="1:9" x14ac:dyDescent="0.25">
      <c r="A12" t="s">
        <v>28</v>
      </c>
      <c r="B12" s="14">
        <v>50000000</v>
      </c>
      <c r="C12" s="11">
        <f t="shared" si="0"/>
        <v>62.5</v>
      </c>
      <c r="D12" s="14">
        <v>42455040</v>
      </c>
      <c r="E12" s="12">
        <f>D12/(B12/8)</f>
        <v>6.7928063999999999</v>
      </c>
      <c r="F12" s="14">
        <v>86323200</v>
      </c>
      <c r="G12" s="27">
        <f t="shared" si="1"/>
        <v>2.0332850940665703</v>
      </c>
      <c r="H12" s="14">
        <v>436184678.39999998</v>
      </c>
      <c r="I12" s="27">
        <f t="shared" si="2"/>
        <v>10.274037626628076</v>
      </c>
    </row>
    <row r="13" spans="1:9" x14ac:dyDescent="0.25">
      <c r="B13" s="14">
        <v>100000000</v>
      </c>
      <c r="C13" s="11">
        <f t="shared" si="0"/>
        <v>125</v>
      </c>
      <c r="D13" s="14">
        <v>48710451.200000003</v>
      </c>
      <c r="E13" s="12">
        <f>D13/(B13/8)</f>
        <v>3.8968360960000004</v>
      </c>
      <c r="F13" s="14">
        <v>136311603.19999999</v>
      </c>
      <c r="G13" s="27">
        <f t="shared" si="1"/>
        <v>2.7984056776710782</v>
      </c>
      <c r="H13" s="14">
        <v>836188569.60000002</v>
      </c>
      <c r="I13" s="27">
        <f t="shared" si="2"/>
        <v>17.166512503994213</v>
      </c>
    </row>
    <row r="14" spans="1:9" x14ac:dyDescent="0.25">
      <c r="B14" s="14">
        <v>200000000</v>
      </c>
      <c r="C14" s="11">
        <f t="shared" si="0"/>
        <v>250</v>
      </c>
      <c r="D14" s="14">
        <v>61186048</v>
      </c>
      <c r="E14" s="12">
        <f>D14/(B14/8)</f>
        <v>2.4474419200000002</v>
      </c>
      <c r="F14" s="14">
        <v>236213043.19999999</v>
      </c>
      <c r="G14" s="27">
        <f t="shared" si="1"/>
        <v>3.8605703574775738</v>
      </c>
      <c r="H14" s="14">
        <v>1636187340.8</v>
      </c>
      <c r="I14" s="27">
        <f t="shared" si="2"/>
        <v>26.741183558709331</v>
      </c>
    </row>
    <row r="15" spans="1:9" x14ac:dyDescent="0.25">
      <c r="B15" s="14">
        <v>300000000</v>
      </c>
      <c r="C15" s="11">
        <f t="shared" si="0"/>
        <v>375</v>
      </c>
      <c r="D15" s="14">
        <v>73764864</v>
      </c>
      <c r="E15" s="12">
        <f>D15/(B15/8)</f>
        <v>1.96706304</v>
      </c>
      <c r="F15" s="14">
        <v>336267673.60000002</v>
      </c>
      <c r="G15" s="27">
        <f t="shared" si="1"/>
        <v>4.5586429007718365</v>
      </c>
      <c r="H15" s="14">
        <v>2436223795.1999998</v>
      </c>
      <c r="I15" s="27">
        <f>H15/D15</f>
        <v>33.026886556721635</v>
      </c>
    </row>
    <row r="17" spans="1:9" x14ac:dyDescent="0.25">
      <c r="A17" s="5" t="s">
        <v>18</v>
      </c>
    </row>
    <row r="19" spans="1:9" s="7" customFormat="1" ht="45" x14ac:dyDescent="0.25">
      <c r="B19" s="8" t="s">
        <v>6</v>
      </c>
      <c r="C19" s="9" t="s">
        <v>7</v>
      </c>
      <c r="D19" s="9" t="s">
        <v>8</v>
      </c>
      <c r="E19" s="8" t="s">
        <v>11</v>
      </c>
      <c r="F19" s="9" t="s">
        <v>10</v>
      </c>
      <c r="G19" s="8" t="s">
        <v>12</v>
      </c>
      <c r="H19" s="9" t="s">
        <v>9</v>
      </c>
      <c r="I19" s="8" t="s">
        <v>13</v>
      </c>
    </row>
    <row r="20" spans="1:9" x14ac:dyDescent="0.25">
      <c r="B20" s="10">
        <v>50000000</v>
      </c>
      <c r="C20" s="11">
        <f>B20/8/10^6</f>
        <v>6.25</v>
      </c>
      <c r="D20" s="12">
        <f>D12/10^6</f>
        <v>42.455039999999997</v>
      </c>
      <c r="E20" s="13">
        <f>D20/C20</f>
        <v>6.7928063999999999</v>
      </c>
      <c r="F20" s="12">
        <f>F12/10^6</f>
        <v>86.3232</v>
      </c>
      <c r="G20" s="13">
        <f t="shared" ref="G20:G23" si="3">F20/D20</f>
        <v>2.0332850940665703</v>
      </c>
      <c r="H20" s="12">
        <f>H12/10^6</f>
        <v>436.1846784</v>
      </c>
      <c r="I20" s="13">
        <f t="shared" ref="I20:I22" si="4">H20/D20</f>
        <v>10.274037626628076</v>
      </c>
    </row>
    <row r="21" spans="1:9" x14ac:dyDescent="0.25">
      <c r="B21" s="10">
        <v>100000000</v>
      </c>
      <c r="C21" s="11">
        <f t="shared" ref="C21:C23" si="5">B21/8/10^6</f>
        <v>12.5</v>
      </c>
      <c r="D21" s="12">
        <f>D13/10^6</f>
        <v>48.710451200000001</v>
      </c>
      <c r="E21" s="13">
        <f t="shared" ref="E21:E23" si="6">D21/C21</f>
        <v>3.8968360959999999</v>
      </c>
      <c r="F21" s="12">
        <f>F13/10^6</f>
        <v>136.31160319999998</v>
      </c>
      <c r="G21" s="13">
        <f t="shared" si="3"/>
        <v>2.7984056776710782</v>
      </c>
      <c r="H21" s="12">
        <f>H13/10^6</f>
        <v>836.18856960000005</v>
      </c>
      <c r="I21" s="13">
        <f t="shared" si="4"/>
        <v>17.166512503994216</v>
      </c>
    </row>
    <row r="22" spans="1:9" x14ac:dyDescent="0.25">
      <c r="B22" s="10">
        <v>200000000</v>
      </c>
      <c r="C22" s="11">
        <f t="shared" si="5"/>
        <v>25</v>
      </c>
      <c r="D22" s="12">
        <f>D14/10^6</f>
        <v>61.186048</v>
      </c>
      <c r="E22" s="13">
        <f t="shared" si="6"/>
        <v>2.4474419200000002</v>
      </c>
      <c r="F22" s="12">
        <f>F14/10^6</f>
        <v>236.21304319999999</v>
      </c>
      <c r="G22" s="13">
        <f t="shared" si="3"/>
        <v>3.8605703574775738</v>
      </c>
      <c r="H22" s="12">
        <f>H14/10^6</f>
        <v>1636.1873407999999</v>
      </c>
      <c r="I22" s="13">
        <f t="shared" si="4"/>
        <v>26.741183558709331</v>
      </c>
    </row>
    <row r="23" spans="1:9" x14ac:dyDescent="0.25">
      <c r="B23" s="10">
        <v>300000000</v>
      </c>
      <c r="C23" s="11">
        <f t="shared" si="5"/>
        <v>37.5</v>
      </c>
      <c r="D23" s="12">
        <f>D15/10^6</f>
        <v>73.764864000000003</v>
      </c>
      <c r="E23" s="13">
        <f t="shared" si="6"/>
        <v>1.96706304</v>
      </c>
      <c r="F23" s="12">
        <f>F15/10^6</f>
        <v>336.26767360000002</v>
      </c>
      <c r="G23" s="13">
        <f t="shared" si="3"/>
        <v>4.5586429007718365</v>
      </c>
      <c r="H23" s="12">
        <f>H15/10^6</f>
        <v>2436.2237951999996</v>
      </c>
      <c r="I23" s="13">
        <f>H23/D23</f>
        <v>33.026886556721635</v>
      </c>
    </row>
    <row r="24" spans="1:9" x14ac:dyDescent="0.25">
      <c r="B24" s="3"/>
      <c r="C24" s="4"/>
      <c r="E24" s="1"/>
      <c r="G24" s="1"/>
      <c r="I24" s="1"/>
    </row>
    <row r="25" spans="1:9" x14ac:dyDescent="0.25">
      <c r="B25" s="16" t="s">
        <v>17</v>
      </c>
      <c r="C25" s="16"/>
      <c r="D25" s="16"/>
      <c r="E25" s="16"/>
      <c r="F25" s="16"/>
      <c r="G25" s="17">
        <f>36200000/10^6</f>
        <v>36.200000000000003</v>
      </c>
      <c r="H25" s="14"/>
      <c r="I25" s="13"/>
    </row>
    <row r="26" spans="1:9" x14ac:dyDescent="0.25">
      <c r="B26" s="18"/>
      <c r="C26" s="18"/>
      <c r="D26" s="18"/>
      <c r="E26" s="18"/>
      <c r="F26" s="17"/>
      <c r="G26" s="13"/>
      <c r="H26" s="14"/>
      <c r="I26" s="13"/>
    </row>
    <row r="27" spans="1:9" ht="45" x14ac:dyDescent="0.25">
      <c r="B27" s="8" t="s">
        <v>6</v>
      </c>
      <c r="C27" s="9" t="s">
        <v>7</v>
      </c>
      <c r="D27" s="9" t="s">
        <v>14</v>
      </c>
      <c r="E27" s="8" t="s">
        <v>11</v>
      </c>
      <c r="F27" s="9" t="s">
        <v>15</v>
      </c>
      <c r="G27" s="8" t="s">
        <v>12</v>
      </c>
      <c r="H27" s="9" t="s">
        <v>16</v>
      </c>
      <c r="I27" s="8" t="s">
        <v>13</v>
      </c>
    </row>
    <row r="28" spans="1:9" x14ac:dyDescent="0.25">
      <c r="B28" s="10">
        <v>50000000</v>
      </c>
      <c r="C28" s="11">
        <f>B28/8/10^6</f>
        <v>6.25</v>
      </c>
      <c r="D28" s="12">
        <f>D20-$G$25</f>
        <v>6.2550399999999939</v>
      </c>
      <c r="E28" s="15">
        <f>D28/$C20</f>
        <v>1.000806399999999</v>
      </c>
      <c r="F28" s="12">
        <f>F20-$G$25</f>
        <v>50.123199999999997</v>
      </c>
      <c r="G28" s="15">
        <f t="shared" ref="G28:G31" si="7">F28/D28</f>
        <v>8.0132501151071853</v>
      </c>
      <c r="H28" s="12">
        <f>H20-$G$25</f>
        <v>399.98467840000001</v>
      </c>
      <c r="I28" s="15">
        <f t="shared" ref="I28:I31" si="8">H28/D28</f>
        <v>63.945982503709075</v>
      </c>
    </row>
    <row r="29" spans="1:9" x14ac:dyDescent="0.25">
      <c r="B29" s="10">
        <v>100000000</v>
      </c>
      <c r="C29" s="11">
        <f t="shared" ref="C29:C31" si="9">B29/8/10^6</f>
        <v>12.5</v>
      </c>
      <c r="D29" s="12">
        <f>D21-$G$25</f>
        <v>12.510451199999999</v>
      </c>
      <c r="E29" s="15">
        <f>D29/$C21</f>
        <v>1.0008360959999998</v>
      </c>
      <c r="F29" s="12">
        <f>F21-$G$25</f>
        <v>100.11160319999998</v>
      </c>
      <c r="G29" s="15">
        <f t="shared" si="7"/>
        <v>8.0022376171372613</v>
      </c>
      <c r="H29" s="12">
        <f>H21-$G$25</f>
        <v>799.98856960000001</v>
      </c>
      <c r="I29" s="15">
        <f t="shared" si="8"/>
        <v>63.945620890156235</v>
      </c>
    </row>
    <row r="30" spans="1:9" x14ac:dyDescent="0.25">
      <c r="B30" s="10">
        <v>200000000</v>
      </c>
      <c r="C30" s="11">
        <f t="shared" si="9"/>
        <v>25</v>
      </c>
      <c r="D30" s="12">
        <f>D22-$G$25</f>
        <v>24.986047999999997</v>
      </c>
      <c r="E30" s="15">
        <f>D30/$C22</f>
        <v>0.99944191999999987</v>
      </c>
      <c r="F30" s="12">
        <f>F22-$G$25</f>
        <v>200.01304319999997</v>
      </c>
      <c r="G30" s="15">
        <f t="shared" si="7"/>
        <v>8.0049891523461412</v>
      </c>
      <c r="H30" s="12">
        <f>H22-$G$25</f>
        <v>1599.9873407999999</v>
      </c>
      <c r="I30" s="15">
        <f t="shared" si="8"/>
        <v>64.035230413389101</v>
      </c>
    </row>
    <row r="31" spans="1:9" x14ac:dyDescent="0.25">
      <c r="B31" s="10">
        <v>300000000</v>
      </c>
      <c r="C31" s="11">
        <f t="shared" si="9"/>
        <v>37.5</v>
      </c>
      <c r="D31" s="12">
        <f>D23-$G$25</f>
        <v>37.564864</v>
      </c>
      <c r="E31" s="15">
        <f>D31/$C23</f>
        <v>1.0017297066666666</v>
      </c>
      <c r="F31" s="12">
        <f>F23-$G$25</f>
        <v>300.06767360000003</v>
      </c>
      <c r="G31" s="15">
        <f t="shared" si="7"/>
        <v>7.9879877536625727</v>
      </c>
      <c r="H31" s="12">
        <f>H23-$G$25</f>
        <v>2400.0237951999998</v>
      </c>
      <c r="I31" s="15">
        <f t="shared" si="8"/>
        <v>63.890123366345733</v>
      </c>
    </row>
    <row r="34" spans="1:15" x14ac:dyDescent="0.25">
      <c r="A34" t="s">
        <v>19</v>
      </c>
    </row>
    <row r="35" spans="1:15" x14ac:dyDescent="0.25">
      <c r="K35" t="s">
        <v>21</v>
      </c>
      <c r="L35" t="s">
        <v>22</v>
      </c>
    </row>
    <row r="36" spans="1:15" x14ac:dyDescent="0.25">
      <c r="J36" t="s">
        <v>20</v>
      </c>
      <c r="K36" s="2">
        <f>D31</f>
        <v>37.564864</v>
      </c>
      <c r="L36" s="1">
        <v>4.7516013145446703</v>
      </c>
      <c r="M36" s="1">
        <v>10.0515178680419</v>
      </c>
      <c r="N36" s="1">
        <v>21.308080291747999</v>
      </c>
      <c r="O36" s="1">
        <v>32.488548994064303</v>
      </c>
    </row>
    <row r="37" spans="1:15" x14ac:dyDescent="0.25">
      <c r="J37" t="s">
        <v>23</v>
      </c>
      <c r="K37" s="2">
        <f>F31</f>
        <v>300.06767360000003</v>
      </c>
      <c r="L37" s="1">
        <v>8.3540298938751203</v>
      </c>
      <c r="M37" s="1">
        <v>16.752499151229799</v>
      </c>
      <c r="N37" s="1">
        <v>34.964457082748403</v>
      </c>
      <c r="O37" s="1">
        <v>50.554069900512602</v>
      </c>
    </row>
    <row r="38" spans="1:15" x14ac:dyDescent="0.25">
      <c r="J38" t="s">
        <v>24</v>
      </c>
      <c r="K38" s="2">
        <f>H31</f>
        <v>2400.0237951999998</v>
      </c>
      <c r="L38" s="1">
        <v>6.9352396965026797</v>
      </c>
      <c r="M38" s="1">
        <v>16.425710391998201</v>
      </c>
      <c r="N38" s="1">
        <v>33.938910865783598</v>
      </c>
      <c r="O38" s="1">
        <v>51.218771839141802</v>
      </c>
    </row>
    <row r="39" spans="1:15" x14ac:dyDescent="0.25">
      <c r="K39" s="2"/>
    </row>
    <row r="41" spans="1:15" x14ac:dyDescent="0.25">
      <c r="K41" t="s">
        <v>25</v>
      </c>
    </row>
    <row r="42" spans="1:15" x14ac:dyDescent="0.25">
      <c r="J42" t="s">
        <v>20</v>
      </c>
      <c r="K42" s="1">
        <f>K36/K$36</f>
        <v>1</v>
      </c>
      <c r="L42">
        <f t="shared" ref="L42:O42" si="10">L36/L$36</f>
        <v>1</v>
      </c>
      <c r="M42">
        <f t="shared" si="10"/>
        <v>1</v>
      </c>
      <c r="N42">
        <f t="shared" si="10"/>
        <v>1</v>
      </c>
      <c r="O42">
        <f t="shared" si="10"/>
        <v>1</v>
      </c>
    </row>
    <row r="43" spans="1:15" x14ac:dyDescent="0.25">
      <c r="J43" t="s">
        <v>23</v>
      </c>
      <c r="K43" s="1">
        <f>K37/K$36</f>
        <v>7.9879877536625727</v>
      </c>
      <c r="L43" s="1">
        <f>L37/L$36</f>
        <v>1.7581504298989483</v>
      </c>
      <c r="M43" s="1">
        <f>M37/M$36</f>
        <v>1.6666636194811135</v>
      </c>
      <c r="N43" s="1">
        <f>N37/N$36</f>
        <v>1.6409013202512253</v>
      </c>
      <c r="O43" s="1">
        <f>O37/O$36</f>
        <v>1.5560581024947864</v>
      </c>
    </row>
    <row r="44" spans="1:15" x14ac:dyDescent="0.25">
      <c r="J44" t="s">
        <v>24</v>
      </c>
      <c r="K44" s="1">
        <f>K38/K$36</f>
        <v>63.890123366345733</v>
      </c>
      <c r="L44" s="1">
        <f>L38/L$36</f>
        <v>1.459558417764109</v>
      </c>
      <c r="M44" s="1">
        <f>M38/M$36</f>
        <v>1.6341522352780768</v>
      </c>
      <c r="N44" s="1">
        <f>N38/N$36</f>
        <v>1.59277186875099</v>
      </c>
      <c r="O44" s="1">
        <f>O38/O$36</f>
        <v>1.5765176785365063</v>
      </c>
    </row>
  </sheetData>
  <mergeCells count="1">
    <mergeCell ref="B25:F2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mem_time_results_2026-07-02T19-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Radostin Dimitrov</dc:creator>
  <cp:lastModifiedBy>Radostin Dimitrov</cp:lastModifiedBy>
  <dcterms:created xsi:type="dcterms:W3CDTF">2026-07-02T16:49:16Z</dcterms:created>
  <dcterms:modified xsi:type="dcterms:W3CDTF">2026-07-03T22:28:05Z</dcterms:modified>
</cp:coreProperties>
</file>