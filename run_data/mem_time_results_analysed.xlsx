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MI\semester_2\Parallel_Programming_Python\primes\run_data\"/>
    </mc:Choice>
  </mc:AlternateContent>
  <xr:revisionPtr revIDLastSave="0" documentId="13_ncr:1_{4920F0E8-8348-43CD-A21F-A9D2371FF8D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em_time_results_2026-07-02T19-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6" i="1" l="1"/>
  <c r="D77" i="1"/>
  <c r="D78" i="1"/>
  <c r="D75" i="1"/>
  <c r="L50" i="1"/>
  <c r="M50" i="1"/>
  <c r="N50" i="1"/>
  <c r="O50" i="1"/>
  <c r="M49" i="1"/>
  <c r="N49" i="1"/>
  <c r="O49" i="1"/>
  <c r="L49" i="1"/>
  <c r="L46" i="1"/>
  <c r="M46" i="1"/>
  <c r="N46" i="1"/>
  <c r="O46" i="1"/>
  <c r="M45" i="1"/>
  <c r="N45" i="1"/>
  <c r="O45" i="1"/>
  <c r="L45" i="1"/>
  <c r="C47" i="1" l="1"/>
  <c r="E47" i="1"/>
  <c r="C48" i="1"/>
  <c r="E48" i="1"/>
  <c r="C49" i="1"/>
  <c r="E49" i="1"/>
  <c r="E46" i="1"/>
  <c r="C46" i="1"/>
  <c r="C43" i="1"/>
  <c r="E43" i="1"/>
  <c r="C44" i="1"/>
  <c r="E44" i="1"/>
  <c r="C45" i="1"/>
  <c r="E45" i="1"/>
  <c r="C39" i="1"/>
  <c r="E39" i="1"/>
  <c r="C40" i="1"/>
  <c r="E40" i="1"/>
  <c r="C41" i="1"/>
  <c r="E41" i="1"/>
  <c r="C42" i="1"/>
  <c r="E42" i="1"/>
  <c r="C38" i="1"/>
  <c r="E38" i="1"/>
  <c r="C3" i="1"/>
  <c r="E3" i="1"/>
  <c r="G3" i="1"/>
  <c r="I3" i="1"/>
  <c r="C4" i="1"/>
  <c r="E4" i="1"/>
  <c r="G4" i="1"/>
  <c r="I4" i="1"/>
  <c r="C5" i="1"/>
  <c r="E5" i="1"/>
  <c r="G5" i="1"/>
  <c r="I5" i="1"/>
  <c r="C6" i="1"/>
  <c r="E6" i="1"/>
  <c r="G6" i="1"/>
  <c r="I6" i="1"/>
  <c r="C8" i="1"/>
  <c r="E8" i="1"/>
  <c r="G8" i="1"/>
  <c r="I8" i="1"/>
  <c r="C9" i="1"/>
  <c r="E9" i="1"/>
  <c r="G9" i="1"/>
  <c r="I9" i="1"/>
  <c r="C10" i="1"/>
  <c r="E10" i="1"/>
  <c r="G10" i="1"/>
  <c r="I10" i="1"/>
  <c r="C11" i="1"/>
  <c r="E11" i="1"/>
  <c r="G11" i="1"/>
  <c r="I11" i="1"/>
  <c r="C13" i="1"/>
  <c r="E13" i="1"/>
  <c r="G13" i="1"/>
  <c r="I13" i="1"/>
  <c r="C14" i="1"/>
  <c r="E14" i="1"/>
  <c r="G14" i="1"/>
  <c r="I14" i="1"/>
  <c r="C15" i="1"/>
  <c r="E15" i="1"/>
  <c r="G15" i="1"/>
  <c r="I15" i="1"/>
  <c r="C16" i="1"/>
  <c r="E16" i="1"/>
  <c r="G16" i="1"/>
  <c r="I16" i="1"/>
  <c r="L44" i="1" l="1"/>
  <c r="M44" i="1"/>
  <c r="N44" i="1"/>
  <c r="O44" i="1"/>
  <c r="C32" i="1"/>
  <c r="C31" i="1"/>
  <c r="C30" i="1"/>
  <c r="C29" i="1"/>
  <c r="H24" i="1"/>
  <c r="H23" i="1"/>
  <c r="H22" i="1"/>
  <c r="H21" i="1"/>
  <c r="I21" i="1" s="1"/>
  <c r="F24" i="1"/>
  <c r="F23" i="1"/>
  <c r="F22" i="1"/>
  <c r="F21" i="1"/>
  <c r="G21" i="1" s="1"/>
  <c r="C22" i="1"/>
  <c r="C23" i="1"/>
  <c r="C24" i="1"/>
  <c r="C21" i="1"/>
  <c r="G26" i="1"/>
  <c r="D22" i="1"/>
  <c r="D30" i="1" s="1"/>
  <c r="D39" i="1" s="1"/>
  <c r="D23" i="1"/>
  <c r="D24" i="1"/>
  <c r="D21" i="1"/>
  <c r="G23" i="1" l="1"/>
  <c r="H31" i="1"/>
  <c r="D48" i="1" s="1"/>
  <c r="D29" i="1"/>
  <c r="D38" i="1" s="1"/>
  <c r="H32" i="1"/>
  <c r="I22" i="1"/>
  <c r="I24" i="1"/>
  <c r="E23" i="1"/>
  <c r="E29" i="1"/>
  <c r="F32" i="1"/>
  <c r="F31" i="1"/>
  <c r="D44" i="1" s="1"/>
  <c r="D32" i="1"/>
  <c r="D41" i="1" s="1"/>
  <c r="H30" i="1"/>
  <c r="F29" i="1"/>
  <c r="E22" i="1"/>
  <c r="H29" i="1"/>
  <c r="E21" i="1"/>
  <c r="G22" i="1"/>
  <c r="F30" i="1"/>
  <c r="D31" i="1"/>
  <c r="E24" i="1"/>
  <c r="E30" i="1"/>
  <c r="I23" i="1"/>
  <c r="G24" i="1"/>
  <c r="I29" i="1" l="1"/>
  <c r="D46" i="1"/>
  <c r="G29" i="1"/>
  <c r="D42" i="1"/>
  <c r="K39" i="1"/>
  <c r="D49" i="1"/>
  <c r="G30" i="1"/>
  <c r="D43" i="1"/>
  <c r="I30" i="1"/>
  <c r="D47" i="1"/>
  <c r="K38" i="1"/>
  <c r="D45" i="1"/>
  <c r="I31" i="1"/>
  <c r="D40" i="1"/>
  <c r="E31" i="1"/>
  <c r="E32" i="1"/>
  <c r="K37" i="1"/>
  <c r="I32" i="1"/>
  <c r="G32" i="1"/>
  <c r="G31" i="1"/>
  <c r="K44" i="1" l="1"/>
  <c r="K46" i="1"/>
  <c r="K45" i="1"/>
</calcChain>
</file>

<file path=xl/sharedStrings.xml><?xml version="1.0" encoding="utf-8"?>
<sst xmlns="http://schemas.openxmlformats.org/spreadsheetml/2006/main" count="95" uniqueCount="58">
  <si>
    <t>serial_bitarray_sieve</t>
  </si>
  <si>
    <t>serial_bool_sieve</t>
  </si>
  <si>
    <t>bool:bitarray</t>
  </si>
  <si>
    <t xml:space="preserve">int </t>
  </si>
  <si>
    <t>int:bitarray</t>
  </si>
  <si>
    <t>bit:expected</t>
  </si>
  <si>
    <t>N</t>
  </si>
  <si>
    <t>Expected size 
[MB]</t>
  </si>
  <si>
    <t>bitarray_sieve memory [MB]</t>
  </si>
  <si>
    <t>int_sieve
memory [MB]</t>
  </si>
  <si>
    <t>bool_sieve
memory [MB]</t>
  </si>
  <si>
    <t>bit/expected</t>
  </si>
  <si>
    <t>bool/bitarray</t>
  </si>
  <si>
    <t>int/bitarray</t>
  </si>
  <si>
    <t>bitarray_sieve corrected memory [MB]</t>
  </si>
  <si>
    <t>bool_sieve
corrected memory [MB]</t>
  </si>
  <si>
    <t>int_sieve
corrected memory [MB]</t>
  </si>
  <si>
    <t>Correction of all measured memories by the same amount of (in MB):</t>
  </si>
  <si>
    <t>Memory use for the 3 variants:</t>
  </si>
  <si>
    <t>Executtion time dependence of the memory</t>
  </si>
  <si>
    <t>bitarray</t>
  </si>
  <si>
    <t>memory</t>
  </si>
  <si>
    <t>time</t>
  </si>
  <si>
    <t>bool</t>
  </si>
  <si>
    <t>int</t>
  </si>
  <si>
    <t>memory ratio</t>
  </si>
  <si>
    <t>run1</t>
  </si>
  <si>
    <t>run2</t>
  </si>
  <si>
    <t>run3 raw</t>
  </si>
  <si>
    <t>Earlier runs and ral data:</t>
  </si>
  <si>
    <t>function</t>
  </si>
  <si>
    <t>size</t>
  </si>
  <si>
    <t>run_date</t>
  </si>
  <si>
    <t>time_avg</t>
  </si>
  <si>
    <t>time_std</t>
  </si>
  <si>
    <t>mem_avg</t>
  </si>
  <si>
    <t>mem_std</t>
  </si>
  <si>
    <t>time_rep_0</t>
  </si>
  <si>
    <t>time_rep_1</t>
  </si>
  <si>
    <t>time_rep_2</t>
  </si>
  <si>
    <t>time_rep_3</t>
  </si>
  <si>
    <t>time_rep_4</t>
  </si>
  <si>
    <t>mem_rep_0</t>
  </si>
  <si>
    <t>mem_rep_1</t>
  </si>
  <si>
    <t>mem_rep_2</t>
  </si>
  <si>
    <t>mem_rep_3</t>
  </si>
  <si>
    <t>mem_rep_4</t>
  </si>
  <si>
    <t>serial_int_array_sieve_no_return</t>
  </si>
  <si>
    <t>2026-07-02T20:47:14</t>
  </si>
  <si>
    <t>serial_bitarray_sieve_no_return</t>
  </si>
  <si>
    <t>serial_bool_sieve_no_return</t>
  </si>
  <si>
    <t>memory [MB]</t>
  </si>
  <si>
    <t>time [s]</t>
  </si>
  <si>
    <t>Slow down (versus bitarray)</t>
  </si>
  <si>
    <t>type</t>
  </si>
  <si>
    <t>bit</t>
  </si>
  <si>
    <t xml:space="preserve">bool </t>
  </si>
  <si>
    <t>byte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</si>
</sst>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E+00"/>
    <numFmt numFmtId="167" formatCode="0E+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2" fontId="0" fillId="0" borderId="0" xfId="0" applyNumberFormat="1"/>
    <xf numFmtId="165" fontId="0" fillId="0" borderId="0" xfId="0" applyNumberFormat="1"/>
    <xf numFmtId="167" fontId="0" fillId="0" borderId="0" xfId="0" applyNumberFormat="1"/>
    <xf numFmtId="0" fontId="0" fillId="0" borderId="0" xfId="0" applyNumberFormat="1"/>
    <xf numFmtId="0" fontId="16" fillId="0" borderId="0" xfId="0" applyFont="1"/>
    <xf numFmtId="0" fontId="18" fillId="0" borderId="0" xfId="0" applyFont="1"/>
    <xf numFmtId="0" fontId="0" fillId="0" borderId="0" xfId="0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 wrapText="1"/>
    </xf>
    <xf numFmtId="167" fontId="0" fillId="0" borderId="10" xfId="0" applyNumberFormat="1" applyBorder="1"/>
    <xf numFmtId="0" fontId="0" fillId="0" borderId="10" xfId="0" applyNumberFormat="1" applyBorder="1"/>
    <xf numFmtId="165" fontId="0" fillId="0" borderId="10" xfId="0" applyNumberFormat="1" applyBorder="1"/>
    <xf numFmtId="2" fontId="0" fillId="0" borderId="10" xfId="0" applyNumberFormat="1" applyBorder="1"/>
    <xf numFmtId="0" fontId="0" fillId="0" borderId="10" xfId="0" applyBorder="1"/>
    <xf numFmtId="2" fontId="0" fillId="33" borderId="10" xfId="0" applyNumberFormat="1" applyFill="1" applyBorder="1"/>
    <xf numFmtId="165" fontId="16" fillId="0" borderId="10" xfId="0" applyNumberFormat="1" applyFont="1" applyBorder="1" applyAlignment="1">
      <alignment horizontal="left"/>
    </xf>
    <xf numFmtId="167" fontId="16" fillId="0" borderId="10" xfId="0" applyNumberFormat="1" applyFont="1" applyBorder="1" applyAlignment="1">
      <alignment horizontal="center"/>
    </xf>
    <xf numFmtId="0" fontId="16" fillId="0" borderId="10" xfId="0" applyFont="1" applyBorder="1"/>
    <xf numFmtId="167" fontId="18" fillId="0" borderId="10" xfId="0" applyNumberFormat="1" applyFont="1" applyBorder="1"/>
    <xf numFmtId="0" fontId="18" fillId="0" borderId="10" xfId="0" applyNumberFormat="1" applyFont="1" applyBorder="1"/>
    <xf numFmtId="166" fontId="18" fillId="0" borderId="10" xfId="0" applyNumberFormat="1" applyFont="1" applyBorder="1"/>
    <xf numFmtId="165" fontId="18" fillId="0" borderId="10" xfId="0" applyNumberFormat="1" applyFont="1" applyBorder="1"/>
    <xf numFmtId="164" fontId="18" fillId="0" borderId="10" xfId="0" applyNumberFormat="1" applyFont="1" applyBorder="1"/>
    <xf numFmtId="0" fontId="18" fillId="0" borderId="10" xfId="0" applyFont="1" applyBorder="1"/>
    <xf numFmtId="11" fontId="18" fillId="0" borderId="10" xfId="0" applyNumberFormat="1" applyFont="1" applyBorder="1"/>
    <xf numFmtId="164" fontId="0" fillId="0" borderId="10" xfId="0" applyNumberFormat="1" applyBorder="1"/>
    <xf numFmtId="167" fontId="16" fillId="0" borderId="10" xfId="0" applyNumberFormat="1" applyFont="1" applyBorder="1" applyAlignment="1">
      <alignment horizontal="center"/>
    </xf>
    <xf numFmtId="2" fontId="0" fillId="34" borderId="10" xfId="0" applyNumberFormat="1" applyFill="1" applyBorder="1"/>
    <xf numFmtId="0" fontId="16" fillId="35" borderId="0" xfId="0" applyFont="1" applyFill="1"/>
    <xf numFmtId="0" fontId="0" fillId="35" borderId="0" xfId="0" applyFill="1"/>
    <xf numFmtId="10" fontId="0" fillId="0" borderId="0" xfId="0" applyNumberFormat="1"/>
    <xf numFmtId="0" fontId="0" fillId="0" borderId="10" xfId="0" applyBorder="1" applyAlignment="1">
      <alignment horizontal="right"/>
    </xf>
    <xf numFmtId="1" fontId="0" fillId="0" borderId="10" xfId="0" applyNumberFormat="1" applyBorder="1"/>
    <xf numFmtId="0" fontId="16" fillId="0" borderId="10" xfId="0" applyFont="1" applyBorder="1" applyAlignment="1">
      <alignment horizontal="center" vertical="center"/>
    </xf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'mem_time_results_2026-07-02T19-'!$K$44:$K$46</c:f>
              <c:numCache>
                <c:formatCode>0.0</c:formatCode>
                <c:ptCount val="3"/>
                <c:pt idx="0" formatCode="0">
                  <c:v>1</c:v>
                </c:pt>
                <c:pt idx="1">
                  <c:v>7.9879877536625727</c:v>
                </c:pt>
                <c:pt idx="2">
                  <c:v>63.890123366345733</c:v>
                </c:pt>
              </c:numCache>
            </c:numRef>
          </c:xVal>
          <c:yVal>
            <c:numRef>
              <c:f>'mem_time_results_2026-07-02T19-'!$L$44:$L$46</c:f>
              <c:numCache>
                <c:formatCode>0.00</c:formatCode>
                <c:ptCount val="3"/>
                <c:pt idx="0" formatCode="General">
                  <c:v>1</c:v>
                </c:pt>
                <c:pt idx="1">
                  <c:v>0.56877954411300069</c:v>
                </c:pt>
                <c:pt idx="2">
                  <c:v>0.68513872951511967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C1-4B88-9ABB-3A619EDB2F9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'mem_time_results_2026-07-02T19-'!$K$44:$K$46</c:f>
              <c:numCache>
                <c:formatCode>0.0</c:formatCode>
                <c:ptCount val="3"/>
                <c:pt idx="0" formatCode="0">
                  <c:v>1</c:v>
                </c:pt>
                <c:pt idx="1">
                  <c:v>7.9879877536625727</c:v>
                </c:pt>
                <c:pt idx="2">
                  <c:v>63.890123366345733</c:v>
                </c:pt>
              </c:numCache>
            </c:numRef>
          </c:xVal>
          <c:yVal>
            <c:numRef>
              <c:f>'mem_time_results_2026-07-02T19-'!$M$44:$M$46</c:f>
              <c:numCache>
                <c:formatCode>0.00</c:formatCode>
                <c:ptCount val="3"/>
                <c:pt idx="0" formatCode="General">
                  <c:v>1</c:v>
                </c:pt>
                <c:pt idx="1">
                  <c:v>0.60000109698880477</c:v>
                </c:pt>
                <c:pt idx="2">
                  <c:v>0.61193809145317124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C1-4B88-9ABB-3A619EDB2F92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'mem_time_results_2026-07-02T19-'!$K$44:$K$46</c:f>
              <c:numCache>
                <c:formatCode>0.0</c:formatCode>
                <c:ptCount val="3"/>
                <c:pt idx="0" formatCode="0">
                  <c:v>1</c:v>
                </c:pt>
                <c:pt idx="1">
                  <c:v>7.9879877536625727</c:v>
                </c:pt>
                <c:pt idx="2">
                  <c:v>63.890123366345733</c:v>
                </c:pt>
              </c:numCache>
            </c:numRef>
          </c:xVal>
          <c:yVal>
            <c:numRef>
              <c:f>'mem_time_results_2026-07-02T19-'!$N$44:$N$46</c:f>
              <c:numCache>
                <c:formatCode>0.00</c:formatCode>
                <c:ptCount val="3"/>
                <c:pt idx="0" formatCode="General">
                  <c:v>1</c:v>
                </c:pt>
                <c:pt idx="1">
                  <c:v>0.6094211685117652</c:v>
                </c:pt>
                <c:pt idx="2">
                  <c:v>0.62783630199607554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C1-4B88-9ABB-3A619EDB2F92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'mem_time_results_2026-07-02T19-'!$K$44:$K$46</c:f>
              <c:numCache>
                <c:formatCode>0.0</c:formatCode>
                <c:ptCount val="3"/>
                <c:pt idx="0" formatCode="0">
                  <c:v>1</c:v>
                </c:pt>
                <c:pt idx="1">
                  <c:v>7.9879877536625727</c:v>
                </c:pt>
                <c:pt idx="2">
                  <c:v>63.890123366345733</c:v>
                </c:pt>
              </c:numCache>
            </c:numRef>
          </c:xVal>
          <c:yVal>
            <c:numRef>
              <c:f>'mem_time_results_2026-07-02T19-'!$O$44:$O$46</c:f>
              <c:numCache>
                <c:formatCode>0.00</c:formatCode>
                <c:ptCount val="3"/>
                <c:pt idx="0" formatCode="General">
                  <c:v>1</c:v>
                </c:pt>
                <c:pt idx="1">
                  <c:v>0.64264952471679992</c:v>
                </c:pt>
                <c:pt idx="2">
                  <c:v>0.63430941093429904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C1-4B88-9ABB-3A619EDB2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4455759"/>
        <c:axId val="1754458255"/>
      </c:scatterChart>
      <c:valAx>
        <c:axId val="1754455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458255"/>
        <c:crosses val="autoZero"/>
        <c:crossBetween val="midCat"/>
      </c:valAx>
      <c:valAx>
        <c:axId val="175445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45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8789370078740155E-2"/>
          <c:y val="5.0925925925925923E-2"/>
          <c:w val="0.85287729658792655"/>
          <c:h val="0.79968953621080319"/>
        </c:manualLayout>
      </c:layout>
      <c:scatterChart>
        <c:scatterStyle val="lineMarker"/>
        <c:varyColors val="0"/>
        <c:ser>
          <c:idx val="0"/>
          <c:order val="0"/>
          <c:tx>
            <c:v>bitarray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'mem_time_results_2026-07-02T19-'!$D$38:$D$41</c:f>
              <c:numCache>
                <c:formatCode>0</c:formatCode>
                <c:ptCount val="4"/>
                <c:pt idx="0">
                  <c:v>6.2550399999999939</c:v>
                </c:pt>
                <c:pt idx="1">
                  <c:v>12.510451199999999</c:v>
                </c:pt>
                <c:pt idx="2">
                  <c:v>24.986047999999997</c:v>
                </c:pt>
                <c:pt idx="3">
                  <c:v>37.564864</c:v>
                </c:pt>
              </c:numCache>
            </c:numRef>
          </c:xVal>
          <c:yVal>
            <c:numRef>
              <c:f>'mem_time_results_2026-07-02T19-'!$E$38:$E$41</c:f>
              <c:numCache>
                <c:formatCode>0.0</c:formatCode>
                <c:ptCount val="4"/>
                <c:pt idx="0">
                  <c:v>4.7516013150000003</c:v>
                </c:pt>
                <c:pt idx="1">
                  <c:v>10.05151787</c:v>
                </c:pt>
                <c:pt idx="2">
                  <c:v>21.308080289999999</c:v>
                </c:pt>
                <c:pt idx="3">
                  <c:v>32.488548989999998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5F-4A19-A6C0-D761D4C4E4DF}"/>
            </c:ext>
          </c:extLst>
        </c:ser>
        <c:ser>
          <c:idx val="1"/>
          <c:order val="1"/>
          <c:tx>
            <c:v>bool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'mem_time_results_2026-07-02T19-'!$D$42:$D$45</c:f>
              <c:numCache>
                <c:formatCode>0</c:formatCode>
                <c:ptCount val="4"/>
                <c:pt idx="0">
                  <c:v>50.123199999999997</c:v>
                </c:pt>
                <c:pt idx="1">
                  <c:v>100.11160319999998</c:v>
                </c:pt>
                <c:pt idx="2">
                  <c:v>200.01304319999997</c:v>
                </c:pt>
                <c:pt idx="3">
                  <c:v>300.06767360000003</c:v>
                </c:pt>
              </c:numCache>
            </c:numRef>
          </c:xVal>
          <c:yVal>
            <c:numRef>
              <c:f>'mem_time_results_2026-07-02T19-'!$E$42:$E$45</c:f>
              <c:numCache>
                <c:formatCode>0.0</c:formatCode>
                <c:ptCount val="4"/>
                <c:pt idx="0">
                  <c:v>8.354029894</c:v>
                </c:pt>
                <c:pt idx="1">
                  <c:v>16.752499149999998</c:v>
                </c:pt>
                <c:pt idx="2">
                  <c:v>34.964457080000003</c:v>
                </c:pt>
                <c:pt idx="3">
                  <c:v>50.554069900000002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15F-4A19-A6C0-D761D4C4E4DF}"/>
            </c:ext>
          </c:extLst>
        </c:ser>
        <c:ser>
          <c:idx val="2"/>
          <c:order val="2"/>
          <c:tx>
            <c:v>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'mem_time_results_2026-07-02T19-'!$D$46:$D$49</c:f>
              <c:numCache>
                <c:formatCode>0</c:formatCode>
                <c:ptCount val="4"/>
                <c:pt idx="0">
                  <c:v>399.98467840000001</c:v>
                </c:pt>
                <c:pt idx="1">
                  <c:v>799.98856960000001</c:v>
                </c:pt>
                <c:pt idx="2">
                  <c:v>1599.9873407999999</c:v>
                </c:pt>
                <c:pt idx="3">
                  <c:v>2400.0237951999998</c:v>
                </c:pt>
              </c:numCache>
            </c:numRef>
          </c:xVal>
          <c:yVal>
            <c:numRef>
              <c:f>'mem_time_results_2026-07-02T19-'!$E$46:$E$49</c:f>
              <c:numCache>
                <c:formatCode>0.0</c:formatCode>
                <c:ptCount val="4"/>
                <c:pt idx="0">
                  <c:v>6.9352396970000001</c:v>
                </c:pt>
                <c:pt idx="1">
                  <c:v>16.425710389999999</c:v>
                </c:pt>
                <c:pt idx="2">
                  <c:v>33.938910870000001</c:v>
                </c:pt>
                <c:pt idx="3">
                  <c:v>51.218771840000002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15F-4A19-A6C0-D761D4C4E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2147040"/>
        <c:axId val="362159520"/>
      </c:scatterChart>
      <c:valAx>
        <c:axId val="36214704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memory [MB]</a:t>
                </a:r>
              </a:p>
            </c:rich>
          </c:tx>
          <c:layout>
            <c:manualLayout>
              <c:xMode val="edge"/>
              <c:yMode val="edge"/>
              <c:x val="0.75770013123359581"/>
              <c:y val="0.906908804142093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159520"/>
        <c:crosses val="autoZero"/>
        <c:crossBetween val="midCat"/>
      </c:valAx>
      <c:valAx>
        <c:axId val="3621595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[s]</a:t>
                </a:r>
              </a:p>
            </c:rich>
          </c:tx>
          <c:layout>
            <c:manualLayout>
              <c:xMode val="edge"/>
              <c:yMode val="edge"/>
              <c:x val="1.0173376215297039E-3"/>
              <c:y val="0.1488646739851487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147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919303394162354"/>
          <c:y val="0.60629594104086759"/>
          <c:w val="0.15633124599582532"/>
          <c:h val="0.238939681055502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209550</xdr:colOff>
      <xdr:row>21</xdr:row>
      <xdr:rowOff>9525</xdr:rowOff>
    </xdr:from>
    <xdr:to>
      <xdr:col>15</xdr:col>
      <xdr:colOff>590550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388CFC-1F56-43D5-8F2B-DF05A2AD01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1038225</xdr:colOff>
      <xdr:row>48</xdr:row>
      <xdr:rowOff>80962</xdr:rowOff>
    </xdr:from>
    <xdr:to>
      <xdr:col>9</xdr:col>
      <xdr:colOff>466725</xdr:colOff>
      <xdr:row>62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C9A3FA-9BA8-4779-BEBD-8EE35883A3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8"/>
  <sheetViews>
    <sheetView tabSelected="1" topLeftCell="A2" workbookViewId="0">
      <selection activeCell="K20" sqref="K20"/>
    </sheetView>
  </sheetViews>
  <sheetFormatPr defaultRowHeight="15" x14ac:dyDescent="0.25"/>
  <cols>
    <col min="1" max="1" width="11.42578125" customWidth="1"/>
    <col min="2" max="2" width="10" bestFit="1" customWidth="1"/>
    <col min="3" max="3" width="15" customWidth="1"/>
    <col min="4" max="4" width="18.28515625" customWidth="1"/>
    <col min="5" max="5" width="13.5703125" customWidth="1"/>
    <col min="6" max="6" width="17.7109375" customWidth="1"/>
    <col min="7" max="7" width="14.28515625" customWidth="1"/>
    <col min="8" max="8" width="19" customWidth="1"/>
    <col min="9" max="10" width="12" bestFit="1" customWidth="1"/>
    <col min="11" max="15" width="9.28515625" customWidth="1"/>
    <col min="16" max="20" width="11.5703125" bestFit="1" customWidth="1"/>
  </cols>
  <sheetData>
    <row r="1" spans="1:29" s="5" customFormat="1" x14ac:dyDescent="0.25">
      <c r="A1" s="5" t="s">
        <v>29</v>
      </c>
    </row>
    <row r="2" spans="1:29" s="5" customFormat="1" ht="30" x14ac:dyDescent="0.25">
      <c r="B2" s="18" t="s">
        <v>6</v>
      </c>
      <c r="C2" s="9" t="s">
        <v>7</v>
      </c>
      <c r="D2" s="18" t="s">
        <v>0</v>
      </c>
      <c r="E2" s="18" t="s">
        <v>5</v>
      </c>
      <c r="F2" s="18" t="s">
        <v>1</v>
      </c>
      <c r="G2" s="18" t="s">
        <v>2</v>
      </c>
      <c r="H2" s="18" t="s">
        <v>3</v>
      </c>
      <c r="I2" s="18" t="s">
        <v>4</v>
      </c>
      <c r="K2" t="s">
        <v>30</v>
      </c>
      <c r="L2" t="s">
        <v>31</v>
      </c>
      <c r="M2" t="s">
        <v>32</v>
      </c>
      <c r="N2" t="s">
        <v>33</v>
      </c>
      <c r="O2" t="s">
        <v>34</v>
      </c>
      <c r="P2"/>
      <c r="Q2" t="s">
        <v>35</v>
      </c>
      <c r="R2" t="s">
        <v>36</v>
      </c>
      <c r="S2"/>
      <c r="T2" t="s">
        <v>37</v>
      </c>
      <c r="U2" t="s">
        <v>38</v>
      </c>
      <c r="V2" t="s">
        <v>39</v>
      </c>
      <c r="W2" t="s">
        <v>40</v>
      </c>
      <c r="X2" t="s">
        <v>41</v>
      </c>
      <c r="Y2" t="s">
        <v>42</v>
      </c>
      <c r="Z2" t="s">
        <v>43</v>
      </c>
      <c r="AA2" t="s">
        <v>44</v>
      </c>
      <c r="AB2" t="s">
        <v>45</v>
      </c>
      <c r="AC2" t="s">
        <v>46</v>
      </c>
    </row>
    <row r="3" spans="1:29" x14ac:dyDescent="0.25">
      <c r="A3" s="6" t="s">
        <v>26</v>
      </c>
      <c r="B3" s="19">
        <v>100000</v>
      </c>
      <c r="C3" s="20">
        <f>B3/8/10^5</f>
        <v>0.125</v>
      </c>
      <c r="D3" s="21">
        <v>142677.33333333299</v>
      </c>
      <c r="E3" s="22">
        <f>D3/(1.3*B3/8)</f>
        <v>8.7801435897435685</v>
      </c>
      <c r="F3" s="21">
        <v>233472</v>
      </c>
      <c r="G3" s="23">
        <f>F3/D3</f>
        <v>1.6363636363636402</v>
      </c>
      <c r="H3" s="21">
        <v>1101141.33333333</v>
      </c>
      <c r="I3" s="23">
        <f>H3/D3</f>
        <v>7.7177033492822913</v>
      </c>
      <c r="K3" t="s">
        <v>47</v>
      </c>
      <c r="L3">
        <v>50000000</v>
      </c>
      <c r="M3" t="s">
        <v>48</v>
      </c>
      <c r="N3">
        <v>6.9352396970000001</v>
      </c>
      <c r="O3">
        <v>0.118210922</v>
      </c>
      <c r="P3" s="31">
        <v>1.7000000000000001E-2</v>
      </c>
      <c r="Q3">
        <v>436184678.39999998</v>
      </c>
      <c r="R3">
        <v>53058.617059999997</v>
      </c>
      <c r="S3" s="31">
        <v>1E-4</v>
      </c>
      <c r="T3">
        <v>7.1157839300000001</v>
      </c>
      <c r="U3">
        <v>6.8581421379999998</v>
      </c>
      <c r="V3">
        <v>6.8468685149999997</v>
      </c>
      <c r="W3">
        <v>6.9963748460000001</v>
      </c>
      <c r="X3">
        <v>6.8590290549999997</v>
      </c>
      <c r="Y3">
        <v>436252672</v>
      </c>
      <c r="Z3">
        <v>436195328</v>
      </c>
      <c r="AA3">
        <v>436109312</v>
      </c>
      <c r="AB3">
        <v>436203520</v>
      </c>
      <c r="AC3">
        <v>436162560</v>
      </c>
    </row>
    <row r="4" spans="1:29" x14ac:dyDescent="0.25">
      <c r="A4" s="6"/>
      <c r="B4" s="19">
        <v>1000000</v>
      </c>
      <c r="C4" s="20">
        <f t="shared" ref="C4:C16" si="0">B4/8/10^5</f>
        <v>1.25</v>
      </c>
      <c r="D4" s="21">
        <v>690176</v>
      </c>
      <c r="E4" s="22">
        <f>D4/(1.3*B4/8)</f>
        <v>4.2472369230769234</v>
      </c>
      <c r="F4" s="21">
        <v>1701205.33333333</v>
      </c>
      <c r="G4" s="23">
        <f>F4/D4</f>
        <v>2.4648862512363947</v>
      </c>
      <c r="H4" s="21">
        <v>763221.33333333302</v>
      </c>
      <c r="I4" s="23">
        <f>H4/D4</f>
        <v>1.1058358061325415</v>
      </c>
      <c r="K4" t="s">
        <v>47</v>
      </c>
      <c r="L4">
        <v>100000000</v>
      </c>
      <c r="M4" t="s">
        <v>48</v>
      </c>
      <c r="N4">
        <v>16.425710389999999</v>
      </c>
      <c r="O4">
        <v>1.066537624</v>
      </c>
      <c r="P4" s="31">
        <v>6.5000000000000002E-2</v>
      </c>
      <c r="Q4">
        <v>836188569.60000002</v>
      </c>
      <c r="R4">
        <v>107147.79</v>
      </c>
      <c r="S4" s="31">
        <v>1E-4</v>
      </c>
      <c r="T4">
        <v>14.93793273</v>
      </c>
      <c r="U4">
        <v>17.638382199999999</v>
      </c>
      <c r="V4">
        <v>15.84220743</v>
      </c>
      <c r="W4">
        <v>16.57494831</v>
      </c>
      <c r="X4">
        <v>17.135081289999999</v>
      </c>
      <c r="Y4">
        <v>836263936</v>
      </c>
      <c r="Z4">
        <v>836018176</v>
      </c>
      <c r="AA4">
        <v>836210688</v>
      </c>
      <c r="AB4">
        <v>836288512</v>
      </c>
      <c r="AC4">
        <v>836161536</v>
      </c>
    </row>
    <row r="5" spans="1:29" x14ac:dyDescent="0.25">
      <c r="A5" s="6"/>
      <c r="B5" s="19">
        <v>10000000</v>
      </c>
      <c r="C5" s="20">
        <f t="shared" si="0"/>
        <v>12.5</v>
      </c>
      <c r="D5" s="21">
        <v>6113280</v>
      </c>
      <c r="E5" s="22">
        <f>D5/(1.3*B5/8)</f>
        <v>3.7620184615384615</v>
      </c>
      <c r="F5" s="21">
        <v>4707669.3333333302</v>
      </c>
      <c r="G5" s="23">
        <f>F5/D5</f>
        <v>0.77007258514796151</v>
      </c>
      <c r="H5" s="21">
        <v>4808704</v>
      </c>
      <c r="I5" s="23">
        <f>H5/D5</f>
        <v>0.78659966499162481</v>
      </c>
      <c r="K5" t="s">
        <v>47</v>
      </c>
      <c r="L5">
        <v>200000000</v>
      </c>
      <c r="M5" t="s">
        <v>48</v>
      </c>
      <c r="N5">
        <v>33.938910870000001</v>
      </c>
      <c r="O5">
        <v>2.4539336829999998</v>
      </c>
      <c r="P5" s="31">
        <v>7.1999999999999995E-2</v>
      </c>
      <c r="Q5">
        <v>1636187341</v>
      </c>
      <c r="R5">
        <v>47714.444470000002</v>
      </c>
      <c r="S5" s="31">
        <v>0</v>
      </c>
      <c r="T5">
        <v>33.453823329999999</v>
      </c>
      <c r="U5">
        <v>37.843404769999999</v>
      </c>
      <c r="V5">
        <v>34.489281890000001</v>
      </c>
      <c r="W5">
        <v>31.493422030000001</v>
      </c>
      <c r="X5">
        <v>32.414622309999999</v>
      </c>
      <c r="Y5">
        <v>1636237312</v>
      </c>
      <c r="Z5">
        <v>1636147200</v>
      </c>
      <c r="AA5">
        <v>1636151296</v>
      </c>
      <c r="AB5">
        <v>1636159488</v>
      </c>
      <c r="AC5">
        <v>1636241408</v>
      </c>
    </row>
    <row r="6" spans="1:29" x14ac:dyDescent="0.25">
      <c r="A6" s="6"/>
      <c r="B6" s="19">
        <v>100000000</v>
      </c>
      <c r="C6" s="20">
        <f t="shared" si="0"/>
        <v>125</v>
      </c>
      <c r="D6" s="21">
        <v>45580970.666666597</v>
      </c>
      <c r="E6" s="22">
        <f>D6/(1.3*B6/8)</f>
        <v>2.8049828102564058</v>
      </c>
      <c r="F6" s="21">
        <v>45529770.666666597</v>
      </c>
      <c r="G6" s="23">
        <f>F6/D6</f>
        <v>0.99887672422830953</v>
      </c>
      <c r="H6" s="21">
        <v>45539328</v>
      </c>
      <c r="I6" s="23">
        <f>H6/D6</f>
        <v>0.99908640237235991</v>
      </c>
      <c r="K6" t="s">
        <v>47</v>
      </c>
      <c r="L6">
        <v>300000000</v>
      </c>
      <c r="M6" t="s">
        <v>48</v>
      </c>
      <c r="N6">
        <v>51.218771840000002</v>
      </c>
      <c r="O6">
        <v>2.3979226169999999</v>
      </c>
      <c r="P6" s="31">
        <v>4.7E-2</v>
      </c>
      <c r="Q6">
        <v>2436223795</v>
      </c>
      <c r="R6">
        <v>121762.1689</v>
      </c>
      <c r="S6" s="31">
        <v>0</v>
      </c>
      <c r="T6">
        <v>55.170304299999998</v>
      </c>
      <c r="U6">
        <v>51.053690199999998</v>
      </c>
      <c r="V6">
        <v>48.841680050000001</v>
      </c>
      <c r="W6">
        <v>51.111820940000001</v>
      </c>
      <c r="X6">
        <v>49.91636372</v>
      </c>
      <c r="Y6">
        <v>2436370432</v>
      </c>
      <c r="Z6">
        <v>2436263936</v>
      </c>
      <c r="AA6">
        <v>2436276224</v>
      </c>
      <c r="AB6">
        <v>2436055040</v>
      </c>
      <c r="AC6">
        <v>2436153344</v>
      </c>
    </row>
    <row r="7" spans="1:29" x14ac:dyDescent="0.25">
      <c r="A7" s="6"/>
      <c r="B7" s="24"/>
      <c r="C7" s="20"/>
      <c r="D7" s="24"/>
      <c r="E7" s="22"/>
      <c r="F7" s="24"/>
      <c r="G7" s="23"/>
      <c r="H7" s="24"/>
      <c r="I7" s="23"/>
      <c r="K7" t="s">
        <v>49</v>
      </c>
      <c r="L7">
        <v>50000000</v>
      </c>
      <c r="M7" t="s">
        <v>48</v>
      </c>
      <c r="N7">
        <v>4.7516013150000003</v>
      </c>
      <c r="O7">
        <v>0.358233423</v>
      </c>
      <c r="P7" s="31">
        <v>7.4999999999999997E-2</v>
      </c>
      <c r="Q7">
        <v>42455040</v>
      </c>
      <c r="R7">
        <v>161363.6862</v>
      </c>
      <c r="S7" s="31">
        <v>3.8E-3</v>
      </c>
      <c r="T7">
        <v>4.6272280219999997</v>
      </c>
      <c r="U7">
        <v>4.7023365500000001</v>
      </c>
      <c r="V7">
        <v>4.5111644269999998</v>
      </c>
      <c r="W7">
        <v>5.3780968189999996</v>
      </c>
      <c r="X7">
        <v>4.5391807560000004</v>
      </c>
      <c r="Y7">
        <v>42565632</v>
      </c>
      <c r="Z7">
        <v>42557440</v>
      </c>
      <c r="AA7">
        <v>42414080</v>
      </c>
      <c r="AB7">
        <v>42188800</v>
      </c>
      <c r="AC7">
        <v>42549248</v>
      </c>
    </row>
    <row r="8" spans="1:29" x14ac:dyDescent="0.25">
      <c r="A8" s="6" t="s">
        <v>27</v>
      </c>
      <c r="B8" s="25">
        <v>100000</v>
      </c>
      <c r="C8" s="20">
        <f t="shared" si="0"/>
        <v>0.125</v>
      </c>
      <c r="D8" s="25">
        <v>35703466.666666597</v>
      </c>
      <c r="E8" s="22">
        <f>D8/(1.3*B8/8)</f>
        <v>2197.1364102564062</v>
      </c>
      <c r="F8" s="25">
        <v>35814058.666666597</v>
      </c>
      <c r="G8" s="23">
        <f t="shared" ref="G8:G16" si="1">F8/D8</f>
        <v>1.0030975143403442</v>
      </c>
      <c r="H8" s="25">
        <v>36581376</v>
      </c>
      <c r="I8" s="23">
        <f t="shared" ref="I8:I15" si="2">H8/D8</f>
        <v>1.0245889101338452</v>
      </c>
      <c r="K8" t="s">
        <v>49</v>
      </c>
      <c r="L8">
        <v>100000000</v>
      </c>
      <c r="M8" t="s">
        <v>48</v>
      </c>
      <c r="N8">
        <v>10.05151787</v>
      </c>
      <c r="O8">
        <v>0.65293832900000004</v>
      </c>
      <c r="P8" s="31">
        <v>6.5000000000000002E-2</v>
      </c>
      <c r="Q8">
        <v>48710451.200000003</v>
      </c>
      <c r="R8">
        <v>94002.976909999998</v>
      </c>
      <c r="S8" s="31">
        <v>1.9E-3</v>
      </c>
      <c r="T8">
        <v>9.7232935430000005</v>
      </c>
      <c r="U8">
        <v>10.82374096</v>
      </c>
      <c r="V8">
        <v>10.670188189999999</v>
      </c>
      <c r="W8">
        <v>9.6842997069999992</v>
      </c>
      <c r="X8">
        <v>9.356066942</v>
      </c>
      <c r="Y8">
        <v>48549888</v>
      </c>
      <c r="Z8">
        <v>48787456</v>
      </c>
      <c r="AA8">
        <v>48709632</v>
      </c>
      <c r="AB8">
        <v>48746496</v>
      </c>
      <c r="AC8">
        <v>48758784</v>
      </c>
    </row>
    <row r="9" spans="1:29" x14ac:dyDescent="0.25">
      <c r="A9" s="6"/>
      <c r="B9" s="25">
        <v>1000000</v>
      </c>
      <c r="C9" s="20">
        <f t="shared" si="0"/>
        <v>1.25</v>
      </c>
      <c r="D9" s="25">
        <v>36220928</v>
      </c>
      <c r="E9" s="22">
        <f>D9/(1.3*B9/8)</f>
        <v>222.89801846153847</v>
      </c>
      <c r="F9" s="25">
        <v>36869461.333333299</v>
      </c>
      <c r="G9" s="23">
        <f t="shared" si="1"/>
        <v>1.0179049342229249</v>
      </c>
      <c r="H9" s="25">
        <v>43801258.666666597</v>
      </c>
      <c r="I9" s="23">
        <f t="shared" si="2"/>
        <v>1.2092804101172283</v>
      </c>
      <c r="K9" t="s">
        <v>49</v>
      </c>
      <c r="L9">
        <v>200000000</v>
      </c>
      <c r="M9" t="s">
        <v>48</v>
      </c>
      <c r="N9">
        <v>21.308080289999999</v>
      </c>
      <c r="O9">
        <v>0.58744498700000003</v>
      </c>
      <c r="P9" s="31">
        <v>2.8000000000000001E-2</v>
      </c>
      <c r="Q9">
        <v>61186048</v>
      </c>
      <c r="R9">
        <v>69390.640520000001</v>
      </c>
      <c r="S9" s="31">
        <v>1.1000000000000001E-3</v>
      </c>
      <c r="T9">
        <v>20.574271199999998</v>
      </c>
      <c r="U9">
        <v>20.976147409999999</v>
      </c>
      <c r="V9">
        <v>22.13692498</v>
      </c>
      <c r="W9">
        <v>21.51781845</v>
      </c>
      <c r="X9">
        <v>21.33523941</v>
      </c>
      <c r="Y9">
        <v>61157376</v>
      </c>
      <c r="Z9">
        <v>61272064</v>
      </c>
      <c r="AA9">
        <v>61087744</v>
      </c>
      <c r="AB9">
        <v>61190144</v>
      </c>
      <c r="AC9">
        <v>61222912</v>
      </c>
    </row>
    <row r="10" spans="1:29" x14ac:dyDescent="0.25">
      <c r="A10" s="6"/>
      <c r="B10" s="25">
        <v>10000000</v>
      </c>
      <c r="C10" s="20">
        <f t="shared" si="0"/>
        <v>12.5</v>
      </c>
      <c r="D10" s="25">
        <v>40737450.666666597</v>
      </c>
      <c r="E10" s="22">
        <f>D10/(1.3*B10/8)</f>
        <v>25.069200410256368</v>
      </c>
      <c r="F10" s="25">
        <v>47209130.666666597</v>
      </c>
      <c r="G10" s="23">
        <f t="shared" si="1"/>
        <v>1.158863156483561</v>
      </c>
      <c r="H10" s="25">
        <v>126040746.666666</v>
      </c>
      <c r="I10" s="23">
        <f t="shared" si="2"/>
        <v>3.0939772765358335</v>
      </c>
      <c r="K10" t="s">
        <v>49</v>
      </c>
      <c r="L10">
        <v>300000000</v>
      </c>
      <c r="M10" t="s">
        <v>48</v>
      </c>
      <c r="N10">
        <v>32.488548989999998</v>
      </c>
      <c r="O10">
        <v>0.81739208100000005</v>
      </c>
      <c r="P10" s="31">
        <v>2.5000000000000001E-2</v>
      </c>
      <c r="Q10">
        <v>73764864</v>
      </c>
      <c r="R10">
        <v>67490.844889999993</v>
      </c>
      <c r="S10" s="31">
        <v>8.9999999999999998E-4</v>
      </c>
      <c r="T10">
        <v>31.30861449</v>
      </c>
      <c r="U10">
        <v>33.44905043</v>
      </c>
      <c r="V10">
        <v>32.473364830000001</v>
      </c>
      <c r="W10">
        <v>32.199681759999997</v>
      </c>
      <c r="X10">
        <v>33.012033459999998</v>
      </c>
      <c r="Y10">
        <v>73670656</v>
      </c>
      <c r="Z10">
        <v>73768960</v>
      </c>
      <c r="AA10">
        <v>73854976</v>
      </c>
      <c r="AB10">
        <v>73789440</v>
      </c>
      <c r="AC10">
        <v>73740288</v>
      </c>
    </row>
    <row r="11" spans="1:29" x14ac:dyDescent="0.25">
      <c r="A11" s="6"/>
      <c r="B11" s="25">
        <v>100000000</v>
      </c>
      <c r="C11" s="20">
        <f t="shared" si="0"/>
        <v>125</v>
      </c>
      <c r="D11" s="25">
        <v>93503488</v>
      </c>
      <c r="E11" s="22">
        <f>D11/(1.3*B11/8)</f>
        <v>5.7540608000000004</v>
      </c>
      <c r="F11" s="25">
        <v>178421760</v>
      </c>
      <c r="G11" s="23">
        <f t="shared" si="1"/>
        <v>1.9081829332398808</v>
      </c>
      <c r="H11" s="25">
        <v>980206933.33333302</v>
      </c>
      <c r="I11" s="23">
        <f t="shared" si="2"/>
        <v>10.483105542900528</v>
      </c>
      <c r="K11" t="s">
        <v>50</v>
      </c>
      <c r="L11">
        <v>50000000</v>
      </c>
      <c r="M11" t="s">
        <v>48</v>
      </c>
      <c r="N11">
        <v>8.354029894</v>
      </c>
      <c r="O11">
        <v>0.16338562400000001</v>
      </c>
      <c r="P11" s="31">
        <v>0.02</v>
      </c>
      <c r="Q11">
        <v>86323200</v>
      </c>
      <c r="R11">
        <v>107943.3949</v>
      </c>
      <c r="S11" s="31">
        <v>1.2999999999999999E-3</v>
      </c>
      <c r="T11">
        <v>8.2560346130000006</v>
      </c>
      <c r="U11">
        <v>8.2239623070000007</v>
      </c>
      <c r="V11">
        <v>8.5382425790000003</v>
      </c>
      <c r="W11">
        <v>8.5265588759999993</v>
      </c>
      <c r="X11">
        <v>8.2253510950000006</v>
      </c>
      <c r="Y11">
        <v>86245376</v>
      </c>
      <c r="Z11">
        <v>86335488</v>
      </c>
      <c r="AA11">
        <v>86478848</v>
      </c>
      <c r="AB11">
        <v>86355968</v>
      </c>
      <c r="AC11">
        <v>86200320</v>
      </c>
    </row>
    <row r="12" spans="1:29" x14ac:dyDescent="0.25">
      <c r="B12" s="14"/>
      <c r="C12" s="11"/>
      <c r="D12" s="14"/>
      <c r="E12" s="12"/>
      <c r="F12" s="14"/>
      <c r="G12" s="26"/>
      <c r="H12" s="14"/>
      <c r="I12" s="26"/>
      <c r="K12" t="s">
        <v>50</v>
      </c>
      <c r="L12">
        <v>100000000</v>
      </c>
      <c r="M12" t="s">
        <v>48</v>
      </c>
      <c r="N12">
        <v>16.752499149999998</v>
      </c>
      <c r="O12">
        <v>0.63200704699999999</v>
      </c>
      <c r="P12" s="31">
        <v>3.7999999999999999E-2</v>
      </c>
      <c r="Q12">
        <v>136311603.19999999</v>
      </c>
      <c r="R12">
        <v>52805.049939999997</v>
      </c>
      <c r="S12" s="31">
        <v>4.0000000000000002E-4</v>
      </c>
      <c r="T12">
        <v>16.551253079999999</v>
      </c>
      <c r="U12">
        <v>16.078412060000002</v>
      </c>
      <c r="V12">
        <v>16.64575696</v>
      </c>
      <c r="W12">
        <v>17.795446399999999</v>
      </c>
      <c r="X12">
        <v>16.691627260000001</v>
      </c>
      <c r="Y12">
        <v>136368128</v>
      </c>
      <c r="Z12">
        <v>136232960</v>
      </c>
      <c r="AA12">
        <v>136335360</v>
      </c>
      <c r="AB12">
        <v>136335360</v>
      </c>
      <c r="AC12">
        <v>136286208</v>
      </c>
    </row>
    <row r="13" spans="1:29" x14ac:dyDescent="0.25">
      <c r="A13" t="s">
        <v>28</v>
      </c>
      <c r="B13" s="14">
        <v>50000000</v>
      </c>
      <c r="C13" s="11">
        <f t="shared" si="0"/>
        <v>62.5</v>
      </c>
      <c r="D13" s="14">
        <v>42455040</v>
      </c>
      <c r="E13" s="12">
        <f>D13/(B13/8)</f>
        <v>6.7928063999999999</v>
      </c>
      <c r="F13" s="14">
        <v>86323200</v>
      </c>
      <c r="G13" s="26">
        <f t="shared" si="1"/>
        <v>2.0332850940665703</v>
      </c>
      <c r="H13" s="14">
        <v>436184678.39999998</v>
      </c>
      <c r="I13" s="26">
        <f t="shared" si="2"/>
        <v>10.274037626628076</v>
      </c>
      <c r="K13" t="s">
        <v>50</v>
      </c>
      <c r="L13">
        <v>200000000</v>
      </c>
      <c r="M13" t="s">
        <v>48</v>
      </c>
      <c r="N13">
        <v>34.964457080000003</v>
      </c>
      <c r="O13">
        <v>2.0686283589999999</v>
      </c>
      <c r="P13" s="31">
        <v>5.8999999999999997E-2</v>
      </c>
      <c r="Q13">
        <v>236213043.19999999</v>
      </c>
      <c r="R13">
        <v>20965.75921</v>
      </c>
      <c r="S13" s="31">
        <v>1E-4</v>
      </c>
      <c r="T13">
        <v>32.332689999999999</v>
      </c>
      <c r="U13">
        <v>36.030251499999999</v>
      </c>
      <c r="V13">
        <v>33.840595720000003</v>
      </c>
      <c r="W13">
        <v>37.75403833</v>
      </c>
      <c r="X13">
        <v>34.864709849999997</v>
      </c>
      <c r="Y13">
        <v>236236800</v>
      </c>
      <c r="Z13">
        <v>236195840</v>
      </c>
      <c r="AA13">
        <v>236216320</v>
      </c>
      <c r="AB13">
        <v>236187648</v>
      </c>
      <c r="AC13">
        <v>236228608</v>
      </c>
    </row>
    <row r="14" spans="1:29" x14ac:dyDescent="0.25">
      <c r="B14" s="14">
        <v>100000000</v>
      </c>
      <c r="C14" s="11">
        <f t="shared" si="0"/>
        <v>125</v>
      </c>
      <c r="D14" s="14">
        <v>48710451.200000003</v>
      </c>
      <c r="E14" s="12">
        <f>D14/(B14/8)</f>
        <v>3.8968360960000004</v>
      </c>
      <c r="F14" s="14">
        <v>136311603.19999999</v>
      </c>
      <c r="G14" s="26">
        <f t="shared" si="1"/>
        <v>2.7984056776710782</v>
      </c>
      <c r="H14" s="14">
        <v>836188569.60000002</v>
      </c>
      <c r="I14" s="26">
        <f t="shared" si="2"/>
        <v>17.166512503994213</v>
      </c>
      <c r="K14" t="s">
        <v>50</v>
      </c>
      <c r="L14">
        <v>300000000</v>
      </c>
      <c r="M14" t="s">
        <v>48</v>
      </c>
      <c r="N14">
        <v>50.554069900000002</v>
      </c>
      <c r="O14">
        <v>1.0787839450000001</v>
      </c>
      <c r="P14" s="31">
        <v>2.1000000000000001E-2</v>
      </c>
      <c r="Q14">
        <v>336267673.60000002</v>
      </c>
      <c r="R14">
        <v>103928.68550000001</v>
      </c>
      <c r="S14" s="31">
        <v>2.9999999999999997E-4</v>
      </c>
      <c r="T14">
        <v>51.993207689999998</v>
      </c>
      <c r="U14">
        <v>51.310749530000002</v>
      </c>
      <c r="V14">
        <v>50.211251500000003</v>
      </c>
      <c r="W14">
        <v>49.925135849999997</v>
      </c>
      <c r="X14">
        <v>49.330004930000001</v>
      </c>
      <c r="Y14">
        <v>336379904</v>
      </c>
      <c r="Z14">
        <v>336375808</v>
      </c>
      <c r="AA14">
        <v>336191488</v>
      </c>
      <c r="AB14">
        <v>336158720</v>
      </c>
      <c r="AC14">
        <v>336232448</v>
      </c>
    </row>
    <row r="15" spans="1:29" x14ac:dyDescent="0.25">
      <c r="B15" s="14">
        <v>200000000</v>
      </c>
      <c r="C15" s="11">
        <f t="shared" si="0"/>
        <v>250</v>
      </c>
      <c r="D15" s="14">
        <v>61186048</v>
      </c>
      <c r="E15" s="12">
        <f>D15/(B15/8)</f>
        <v>2.4474419200000002</v>
      </c>
      <c r="F15" s="14">
        <v>236213043.19999999</v>
      </c>
      <c r="G15" s="26">
        <f t="shared" si="1"/>
        <v>3.8605703574775738</v>
      </c>
      <c r="H15" s="14">
        <v>1636187340.8</v>
      </c>
      <c r="I15" s="26">
        <f t="shared" si="2"/>
        <v>26.741183558709331</v>
      </c>
    </row>
    <row r="16" spans="1:29" x14ac:dyDescent="0.25">
      <c r="B16" s="14">
        <v>300000000</v>
      </c>
      <c r="C16" s="11">
        <f t="shared" si="0"/>
        <v>375</v>
      </c>
      <c r="D16" s="14">
        <v>73764864</v>
      </c>
      <c r="E16" s="12">
        <f>D16/(B16/8)</f>
        <v>1.96706304</v>
      </c>
      <c r="F16" s="14">
        <v>336267673.60000002</v>
      </c>
      <c r="G16" s="26">
        <f t="shared" si="1"/>
        <v>4.5586429007718365</v>
      </c>
      <c r="H16" s="14">
        <v>2436223795.1999998</v>
      </c>
      <c r="I16" s="26">
        <f>H16/D16</f>
        <v>33.026886556721635</v>
      </c>
    </row>
    <row r="18" spans="1:9" s="30" customFormat="1" x14ac:dyDescent="0.25">
      <c r="A18" s="29" t="s">
        <v>18</v>
      </c>
    </row>
    <row r="20" spans="1:9" s="7" customFormat="1" ht="45" x14ac:dyDescent="0.25">
      <c r="B20" s="8" t="s">
        <v>6</v>
      </c>
      <c r="C20" s="9" t="s">
        <v>7</v>
      </c>
      <c r="D20" s="9" t="s">
        <v>8</v>
      </c>
      <c r="E20" s="8" t="s">
        <v>11</v>
      </c>
      <c r="F20" s="9" t="s">
        <v>10</v>
      </c>
      <c r="G20" s="8" t="s">
        <v>12</v>
      </c>
      <c r="H20" s="9" t="s">
        <v>9</v>
      </c>
      <c r="I20" s="8" t="s">
        <v>13</v>
      </c>
    </row>
    <row r="21" spans="1:9" x14ac:dyDescent="0.25">
      <c r="B21" s="10">
        <v>50000000</v>
      </c>
      <c r="C21" s="11">
        <f>B21/8/10^6</f>
        <v>6.25</v>
      </c>
      <c r="D21" s="12">
        <f>D13/10^6</f>
        <v>42.455039999999997</v>
      </c>
      <c r="E21" s="28">
        <f>D21/C21</f>
        <v>6.7928063999999999</v>
      </c>
      <c r="F21" s="12">
        <f>F13/10^6</f>
        <v>86.3232</v>
      </c>
      <c r="G21" s="28">
        <f t="shared" ref="G21:G24" si="3">F21/D21</f>
        <v>2.0332850940665703</v>
      </c>
      <c r="H21" s="12">
        <f>H13/10^6</f>
        <v>436.1846784</v>
      </c>
      <c r="I21" s="28">
        <f t="shared" ref="I21:I23" si="4">H21/D21</f>
        <v>10.274037626628076</v>
      </c>
    </row>
    <row r="22" spans="1:9" x14ac:dyDescent="0.25">
      <c r="B22" s="10">
        <v>100000000</v>
      </c>
      <c r="C22" s="11">
        <f t="shared" ref="C22:C24" si="5">B22/8/10^6</f>
        <v>12.5</v>
      </c>
      <c r="D22" s="12">
        <f>D14/10^6</f>
        <v>48.710451200000001</v>
      </c>
      <c r="E22" s="28">
        <f t="shared" ref="E22:E24" si="6">D22/C22</f>
        <v>3.8968360959999999</v>
      </c>
      <c r="F22" s="12">
        <f>F14/10^6</f>
        <v>136.31160319999998</v>
      </c>
      <c r="G22" s="28">
        <f t="shared" si="3"/>
        <v>2.7984056776710782</v>
      </c>
      <c r="H22" s="12">
        <f>H14/10^6</f>
        <v>836.18856960000005</v>
      </c>
      <c r="I22" s="28">
        <f t="shared" si="4"/>
        <v>17.166512503994216</v>
      </c>
    </row>
    <row r="23" spans="1:9" x14ac:dyDescent="0.25">
      <c r="B23" s="10">
        <v>200000000</v>
      </c>
      <c r="C23" s="11">
        <f t="shared" si="5"/>
        <v>25</v>
      </c>
      <c r="D23" s="12">
        <f>D15/10^6</f>
        <v>61.186048</v>
      </c>
      <c r="E23" s="28">
        <f t="shared" si="6"/>
        <v>2.4474419200000002</v>
      </c>
      <c r="F23" s="12">
        <f>F15/10^6</f>
        <v>236.21304319999999</v>
      </c>
      <c r="G23" s="28">
        <f t="shared" si="3"/>
        <v>3.8605703574775738</v>
      </c>
      <c r="H23" s="12">
        <f>H15/10^6</f>
        <v>1636.1873407999999</v>
      </c>
      <c r="I23" s="28">
        <f t="shared" si="4"/>
        <v>26.741183558709331</v>
      </c>
    </row>
    <row r="24" spans="1:9" x14ac:dyDescent="0.25">
      <c r="B24" s="10">
        <v>300000000</v>
      </c>
      <c r="C24" s="11">
        <f t="shared" si="5"/>
        <v>37.5</v>
      </c>
      <c r="D24" s="12">
        <f>D16/10^6</f>
        <v>73.764864000000003</v>
      </c>
      <c r="E24" s="28">
        <f t="shared" si="6"/>
        <v>1.96706304</v>
      </c>
      <c r="F24" s="12">
        <f>F16/10^6</f>
        <v>336.26767360000002</v>
      </c>
      <c r="G24" s="28">
        <f t="shared" si="3"/>
        <v>4.5586429007718365</v>
      </c>
      <c r="H24" s="12">
        <f>H16/10^6</f>
        <v>2436.2237951999996</v>
      </c>
      <c r="I24" s="28">
        <f>H24/D24</f>
        <v>33.026886556721635</v>
      </c>
    </row>
    <row r="25" spans="1:9" x14ac:dyDescent="0.25">
      <c r="B25" s="3"/>
      <c r="C25" s="4"/>
      <c r="E25" s="1"/>
      <c r="G25" s="1"/>
      <c r="I25" s="1"/>
    </row>
    <row r="26" spans="1:9" x14ac:dyDescent="0.25">
      <c r="B26" s="27" t="s">
        <v>17</v>
      </c>
      <c r="C26" s="27"/>
      <c r="D26" s="27"/>
      <c r="E26" s="27"/>
      <c r="F26" s="27"/>
      <c r="G26" s="16">
        <f>36200000/10^6</f>
        <v>36.200000000000003</v>
      </c>
      <c r="H26" s="14"/>
      <c r="I26" s="13"/>
    </row>
    <row r="27" spans="1:9" x14ac:dyDescent="0.25">
      <c r="B27" s="17"/>
      <c r="C27" s="17"/>
      <c r="D27" s="17"/>
      <c r="E27" s="17"/>
      <c r="F27" s="16"/>
      <c r="G27" s="13"/>
      <c r="H27" s="14"/>
      <c r="I27" s="13"/>
    </row>
    <row r="28" spans="1:9" ht="45" x14ac:dyDescent="0.25">
      <c r="B28" s="8" t="s">
        <v>6</v>
      </c>
      <c r="C28" s="9" t="s">
        <v>7</v>
      </c>
      <c r="D28" s="9" t="s">
        <v>14</v>
      </c>
      <c r="E28" s="8" t="s">
        <v>11</v>
      </c>
      <c r="F28" s="9" t="s">
        <v>15</v>
      </c>
      <c r="G28" s="8" t="s">
        <v>12</v>
      </c>
      <c r="H28" s="9" t="s">
        <v>16</v>
      </c>
      <c r="I28" s="8" t="s">
        <v>13</v>
      </c>
    </row>
    <row r="29" spans="1:9" x14ac:dyDescent="0.25">
      <c r="B29" s="10">
        <v>50000000</v>
      </c>
      <c r="C29" s="11">
        <f>B29/8/10^6</f>
        <v>6.25</v>
      </c>
      <c r="D29" s="12">
        <f>D21-$G$26</f>
        <v>6.2550399999999939</v>
      </c>
      <c r="E29" s="15">
        <f>D29/$C21</f>
        <v>1.000806399999999</v>
      </c>
      <c r="F29" s="12">
        <f>F21-$G$26</f>
        <v>50.123199999999997</v>
      </c>
      <c r="G29" s="15">
        <f t="shared" ref="G29:G32" si="7">F29/D29</f>
        <v>8.0132501151071853</v>
      </c>
      <c r="H29" s="12">
        <f>H21-$G$26</f>
        <v>399.98467840000001</v>
      </c>
      <c r="I29" s="15">
        <f t="shared" ref="I29:I32" si="8">H29/D29</f>
        <v>63.945982503709075</v>
      </c>
    </row>
    <row r="30" spans="1:9" x14ac:dyDescent="0.25">
      <c r="B30" s="10">
        <v>100000000</v>
      </c>
      <c r="C30" s="11">
        <f t="shared" ref="C30:C32" si="9">B30/8/10^6</f>
        <v>12.5</v>
      </c>
      <c r="D30" s="12">
        <f>D22-$G$26</f>
        <v>12.510451199999999</v>
      </c>
      <c r="E30" s="15">
        <f>D30/$C22</f>
        <v>1.0008360959999998</v>
      </c>
      <c r="F30" s="12">
        <f>F22-$G$26</f>
        <v>100.11160319999998</v>
      </c>
      <c r="G30" s="15">
        <f t="shared" si="7"/>
        <v>8.0022376171372613</v>
      </c>
      <c r="H30" s="12">
        <f>H22-$G$26</f>
        <v>799.98856960000001</v>
      </c>
      <c r="I30" s="15">
        <f t="shared" si="8"/>
        <v>63.945620890156235</v>
      </c>
    </row>
    <row r="31" spans="1:9" x14ac:dyDescent="0.25">
      <c r="B31" s="10">
        <v>200000000</v>
      </c>
      <c r="C31" s="11">
        <f t="shared" si="9"/>
        <v>25</v>
      </c>
      <c r="D31" s="12">
        <f>D23-$G$26</f>
        <v>24.986047999999997</v>
      </c>
      <c r="E31" s="15">
        <f>D31/$C23</f>
        <v>0.99944191999999987</v>
      </c>
      <c r="F31" s="12">
        <f>F23-$G$26</f>
        <v>200.01304319999997</v>
      </c>
      <c r="G31" s="15">
        <f t="shared" si="7"/>
        <v>8.0049891523461412</v>
      </c>
      <c r="H31" s="12">
        <f>H23-$G$26</f>
        <v>1599.9873407999999</v>
      </c>
      <c r="I31" s="15">
        <f t="shared" si="8"/>
        <v>64.035230413389101</v>
      </c>
    </row>
    <row r="32" spans="1:9" x14ac:dyDescent="0.25">
      <c r="B32" s="10">
        <v>300000000</v>
      </c>
      <c r="C32" s="11">
        <f t="shared" si="9"/>
        <v>37.5</v>
      </c>
      <c r="D32" s="12">
        <f>D24-$G$26</f>
        <v>37.564864</v>
      </c>
      <c r="E32" s="15">
        <f>D32/$C24</f>
        <v>1.0017297066666666</v>
      </c>
      <c r="F32" s="12">
        <f>F24-$G$26</f>
        <v>300.06767360000003</v>
      </c>
      <c r="G32" s="15">
        <f t="shared" si="7"/>
        <v>7.9879877536625727</v>
      </c>
      <c r="H32" s="12">
        <f>H24-$G$26</f>
        <v>2400.0237951999998</v>
      </c>
      <c r="I32" s="15">
        <f t="shared" si="8"/>
        <v>63.890123366345733</v>
      </c>
    </row>
    <row r="35" spans="1:15" x14ac:dyDescent="0.25">
      <c r="A35" t="s">
        <v>19</v>
      </c>
    </row>
    <row r="36" spans="1:15" x14ac:dyDescent="0.25">
      <c r="K36" t="s">
        <v>21</v>
      </c>
      <c r="L36" t="s">
        <v>22</v>
      </c>
    </row>
    <row r="37" spans="1:15" x14ac:dyDescent="0.25">
      <c r="D37" t="s">
        <v>51</v>
      </c>
      <c r="E37" t="s">
        <v>52</v>
      </c>
      <c r="J37" t="s">
        <v>20</v>
      </c>
      <c r="K37" s="2">
        <f>D32</f>
        <v>37.564864</v>
      </c>
      <c r="L37" s="1">
        <v>4.7516013145446703</v>
      </c>
      <c r="M37" s="1">
        <v>10.0515178680419</v>
      </c>
      <c r="N37" s="1">
        <v>21.308080291747999</v>
      </c>
      <c r="O37" s="1">
        <v>32.488548994064303</v>
      </c>
    </row>
    <row r="38" spans="1:15" x14ac:dyDescent="0.25">
      <c r="C38" t="str">
        <f>K7</f>
        <v>serial_bitarray_sieve_no_return</v>
      </c>
      <c r="D38" s="35">
        <f>D29</f>
        <v>6.2550399999999939</v>
      </c>
      <c r="E38" s="2">
        <f>N7</f>
        <v>4.7516013150000003</v>
      </c>
      <c r="J38" t="s">
        <v>23</v>
      </c>
      <c r="K38" s="2">
        <f>F32</f>
        <v>300.06767360000003</v>
      </c>
      <c r="L38" s="1">
        <v>8.3540298938751203</v>
      </c>
      <c r="M38" s="1">
        <v>16.752499151229799</v>
      </c>
      <c r="N38" s="1">
        <v>34.964457082748403</v>
      </c>
      <c r="O38" s="1">
        <v>50.554069900512602</v>
      </c>
    </row>
    <row r="39" spans="1:15" x14ac:dyDescent="0.25">
      <c r="C39" t="str">
        <f t="shared" ref="C39:C42" si="10">K8</f>
        <v>serial_bitarray_sieve_no_return</v>
      </c>
      <c r="D39" s="35">
        <f t="shared" ref="D39:D41" si="11">D30</f>
        <v>12.510451199999999</v>
      </c>
      <c r="E39" s="2">
        <f t="shared" ref="E39:E42" si="12">N8</f>
        <v>10.05151787</v>
      </c>
      <c r="J39" t="s">
        <v>24</v>
      </c>
      <c r="K39" s="2">
        <f>H32</f>
        <v>2400.0237951999998</v>
      </c>
      <c r="L39" s="1">
        <v>6.9352396965026797</v>
      </c>
      <c r="M39" s="1">
        <v>16.425710391998201</v>
      </c>
      <c r="N39" s="1">
        <v>33.938910865783598</v>
      </c>
      <c r="O39" s="1">
        <v>51.218771839141802</v>
      </c>
    </row>
    <row r="40" spans="1:15" x14ac:dyDescent="0.25">
      <c r="C40" t="str">
        <f t="shared" si="10"/>
        <v>serial_bitarray_sieve_no_return</v>
      </c>
      <c r="D40" s="35">
        <f t="shared" si="11"/>
        <v>24.986047999999997</v>
      </c>
      <c r="E40" s="2">
        <f t="shared" si="12"/>
        <v>21.308080289999999</v>
      </c>
      <c r="K40" s="2"/>
    </row>
    <row r="41" spans="1:15" x14ac:dyDescent="0.25">
      <c r="C41" t="str">
        <f t="shared" si="10"/>
        <v>serial_bitarray_sieve_no_return</v>
      </c>
      <c r="D41" s="35">
        <f t="shared" si="11"/>
        <v>37.564864</v>
      </c>
      <c r="E41" s="2">
        <f t="shared" si="12"/>
        <v>32.488548989999998</v>
      </c>
    </row>
    <row r="42" spans="1:15" x14ac:dyDescent="0.25">
      <c r="C42" t="str">
        <f t="shared" si="10"/>
        <v>serial_bool_sieve_no_return</v>
      </c>
      <c r="D42" s="35">
        <f>F29</f>
        <v>50.123199999999997</v>
      </c>
      <c r="E42" s="2">
        <f t="shared" si="12"/>
        <v>8.354029894</v>
      </c>
      <c r="J42" s="14"/>
      <c r="K42" s="32" t="s">
        <v>6</v>
      </c>
      <c r="L42" s="10">
        <v>50000000</v>
      </c>
      <c r="M42" s="10">
        <v>100000000</v>
      </c>
      <c r="N42" s="10">
        <v>200000000</v>
      </c>
      <c r="O42" s="10">
        <v>300000000</v>
      </c>
    </row>
    <row r="43" spans="1:15" ht="30" x14ac:dyDescent="0.25">
      <c r="C43" t="str">
        <f t="shared" ref="C43:C45" si="13">K12</f>
        <v>serial_bool_sieve_no_return</v>
      </c>
      <c r="D43" s="35">
        <f t="shared" ref="D43:D45" si="14">F30</f>
        <v>100.11160319999998</v>
      </c>
      <c r="E43" s="2">
        <f t="shared" ref="E43:E45" si="15">N12</f>
        <v>16.752499149999998</v>
      </c>
      <c r="J43" s="8" t="s">
        <v>54</v>
      </c>
      <c r="K43" s="9" t="s">
        <v>25</v>
      </c>
      <c r="L43" s="34" t="s">
        <v>53</v>
      </c>
      <c r="M43" s="34"/>
      <c r="N43" s="34"/>
      <c r="O43" s="34"/>
    </row>
    <row r="44" spans="1:15" x14ac:dyDescent="0.25">
      <c r="C44" t="str">
        <f t="shared" si="13"/>
        <v>serial_bool_sieve_no_return</v>
      </c>
      <c r="D44" s="35">
        <f t="shared" si="14"/>
        <v>200.01304319999997</v>
      </c>
      <c r="E44" s="2">
        <f t="shared" si="15"/>
        <v>34.964457080000003</v>
      </c>
      <c r="J44" s="14" t="s">
        <v>20</v>
      </c>
      <c r="K44" s="33">
        <f>K37/K$37</f>
        <v>1</v>
      </c>
      <c r="L44" s="14">
        <f>L37/L$37</f>
        <v>1</v>
      </c>
      <c r="M44" s="14">
        <f>M37/M$37</f>
        <v>1</v>
      </c>
      <c r="N44" s="14">
        <f>N37/N$37</f>
        <v>1</v>
      </c>
      <c r="O44" s="14">
        <f>O37/O$37</f>
        <v>1</v>
      </c>
    </row>
    <row r="45" spans="1:15" x14ac:dyDescent="0.25">
      <c r="C45" t="str">
        <f t="shared" si="13"/>
        <v>serial_bool_sieve_no_return</v>
      </c>
      <c r="D45" s="35">
        <f t="shared" si="14"/>
        <v>300.06767360000003</v>
      </c>
      <c r="E45" s="2">
        <f t="shared" si="15"/>
        <v>50.554069900000002</v>
      </c>
      <c r="J45" s="14" t="s">
        <v>23</v>
      </c>
      <c r="K45" s="12">
        <f>K38/K$37</f>
        <v>7.9879877536625727</v>
      </c>
      <c r="L45" s="13">
        <f>L$37/L38</f>
        <v>0.56877954411300069</v>
      </c>
      <c r="M45" s="13">
        <f>M$37/M38</f>
        <v>0.60000109698880477</v>
      </c>
      <c r="N45" s="13">
        <f>N$37/N38</f>
        <v>0.6094211685117652</v>
      </c>
      <c r="O45" s="13">
        <f>O$37/O38</f>
        <v>0.64264952471679992</v>
      </c>
    </row>
    <row r="46" spans="1:15" x14ac:dyDescent="0.25">
      <c r="C46" t="str">
        <f>K3</f>
        <v>serial_int_array_sieve_no_return</v>
      </c>
      <c r="D46" s="35">
        <f>H29</f>
        <v>399.98467840000001</v>
      </c>
      <c r="E46" s="2">
        <f>N3</f>
        <v>6.9352396970000001</v>
      </c>
      <c r="J46" s="14" t="s">
        <v>24</v>
      </c>
      <c r="K46" s="12">
        <f>K39/K$37</f>
        <v>63.890123366345733</v>
      </c>
      <c r="L46" s="13">
        <f>L$37/L39</f>
        <v>0.68513872951511967</v>
      </c>
      <c r="M46" s="13">
        <f>M$37/M39</f>
        <v>0.61193809145317124</v>
      </c>
      <c r="N46" s="13">
        <f>N$37/N39</f>
        <v>0.62783630199607554</v>
      </c>
      <c r="O46" s="13">
        <f>O$37/O39</f>
        <v>0.63430941093429904</v>
      </c>
    </row>
    <row r="47" spans="1:15" x14ac:dyDescent="0.25">
      <c r="C47" t="str">
        <f t="shared" ref="C47:C49" si="16">K4</f>
        <v>serial_int_array_sieve_no_return</v>
      </c>
      <c r="D47" s="35">
        <f t="shared" ref="D47:D49" si="17">H30</f>
        <v>799.98856960000001</v>
      </c>
      <c r="E47" s="2">
        <f t="shared" ref="E47:E49" si="18">N4</f>
        <v>16.425710389999999</v>
      </c>
    </row>
    <row r="48" spans="1:15" x14ac:dyDescent="0.25">
      <c r="C48" t="str">
        <f t="shared" si="16"/>
        <v>serial_int_array_sieve_no_return</v>
      </c>
      <c r="D48" s="35">
        <f t="shared" si="17"/>
        <v>1599.9873407999999</v>
      </c>
      <c r="E48" s="2">
        <f t="shared" si="18"/>
        <v>33.938910870000001</v>
      </c>
    </row>
    <row r="49" spans="3:15" x14ac:dyDescent="0.25">
      <c r="C49" t="str">
        <f t="shared" si="16"/>
        <v>serial_int_array_sieve_no_return</v>
      </c>
      <c r="D49" s="35">
        <f t="shared" si="17"/>
        <v>2400.0237951999998</v>
      </c>
      <c r="E49" s="2">
        <f t="shared" si="18"/>
        <v>51.218771840000002</v>
      </c>
      <c r="L49">
        <f>1/L45</f>
        <v>1.7581504298989483</v>
      </c>
      <c r="M49">
        <f t="shared" ref="M49:O50" si="19">1/M45</f>
        <v>1.6666636194811135</v>
      </c>
      <c r="N49">
        <f t="shared" si="19"/>
        <v>1.6409013202512253</v>
      </c>
      <c r="O49">
        <f t="shared" si="19"/>
        <v>1.5560581024947864</v>
      </c>
    </row>
    <row r="50" spans="3:15" x14ac:dyDescent="0.25">
      <c r="L50">
        <f>1/L46</f>
        <v>1.4595584177641092</v>
      </c>
      <c r="M50">
        <f t="shared" si="19"/>
        <v>1.6341522352780768</v>
      </c>
      <c r="N50">
        <f t="shared" si="19"/>
        <v>1.5927718687509897</v>
      </c>
      <c r="O50">
        <f t="shared" si="19"/>
        <v>1.5765176785365065</v>
      </c>
    </row>
    <row r="66" spans="3:7" x14ac:dyDescent="0.25">
      <c r="C66" t="s">
        <v>6</v>
      </c>
      <c r="D66" t="s">
        <v>7</v>
      </c>
      <c r="E66" t="s">
        <v>14</v>
      </c>
      <c r="F66" t="s">
        <v>15</v>
      </c>
      <c r="G66" t="s">
        <v>16</v>
      </c>
    </row>
    <row r="67" spans="3:7" x14ac:dyDescent="0.25">
      <c r="C67">
        <v>50000000</v>
      </c>
      <c r="D67">
        <v>6.25</v>
      </c>
      <c r="E67" s="2">
        <v>6.2550399999999939</v>
      </c>
      <c r="F67" s="2">
        <v>50.123199999999997</v>
      </c>
      <c r="G67" s="2">
        <v>399.98467840000001</v>
      </c>
    </row>
    <row r="68" spans="3:7" x14ac:dyDescent="0.25">
      <c r="C68">
        <v>100000000</v>
      </c>
      <c r="D68">
        <v>12.5</v>
      </c>
      <c r="E68" s="2">
        <v>12.510451199999999</v>
      </c>
      <c r="F68" s="2">
        <v>100.11160319999998</v>
      </c>
      <c r="G68" s="2">
        <v>799.98856960000001</v>
      </c>
    </row>
    <row r="69" spans="3:7" x14ac:dyDescent="0.25">
      <c r="C69">
        <v>200000000</v>
      </c>
      <c r="D69">
        <v>25</v>
      </c>
      <c r="E69" s="2">
        <v>24.986047999999997</v>
      </c>
      <c r="F69" s="2">
        <v>200.01304319999997</v>
      </c>
      <c r="G69" s="2">
        <v>1599.9873407999999</v>
      </c>
    </row>
    <row r="70" spans="3:7" x14ac:dyDescent="0.25">
      <c r="C70">
        <v>300000000</v>
      </c>
      <c r="D70">
        <v>37.5</v>
      </c>
      <c r="E70" s="2">
        <v>37.564864</v>
      </c>
      <c r="F70" s="2">
        <v>300.06767360000003</v>
      </c>
      <c r="G70" s="2">
        <v>2400.0237951999998</v>
      </c>
    </row>
    <row r="73" spans="3:7" x14ac:dyDescent="0.25">
      <c r="E73" s="2">
        <v>64</v>
      </c>
      <c r="F73" s="2">
        <v>8</v>
      </c>
      <c r="G73" s="2">
        <v>1</v>
      </c>
    </row>
    <row r="74" spans="3:7" x14ac:dyDescent="0.25">
      <c r="C74" t="s">
        <v>6</v>
      </c>
      <c r="E74" t="s">
        <v>55</v>
      </c>
      <c r="F74" t="s">
        <v>56</v>
      </c>
      <c r="G74" t="s">
        <v>57</v>
      </c>
    </row>
    <row r="75" spans="3:7" x14ac:dyDescent="0.25">
      <c r="C75">
        <v>50000000</v>
      </c>
      <c r="D75" s="35">
        <f>SQRT(C75)</f>
        <v>7071.0678118654751</v>
      </c>
    </row>
    <row r="76" spans="3:7" x14ac:dyDescent="0.25">
      <c r="C76">
        <v>100000000</v>
      </c>
      <c r="D76" s="35">
        <f t="shared" ref="D76:D78" si="20">SQRT(C76)</f>
        <v>10000</v>
      </c>
    </row>
    <row r="77" spans="3:7" x14ac:dyDescent="0.25">
      <c r="C77">
        <v>200000000</v>
      </c>
      <c r="D77" s="35">
        <f t="shared" si="20"/>
        <v>14142.13562373095</v>
      </c>
    </row>
    <row r="78" spans="3:7" x14ac:dyDescent="0.25">
      <c r="C78">
        <v>300000000</v>
      </c>
      <c r="D78" s="35">
        <f t="shared" si="20"/>
        <v>17320.508075688773</v>
      </c>
    </row>
  </sheetData>
  <mergeCells count="2">
    <mergeCell ref="B26:F26"/>
    <mergeCell ref="L43:O4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B4" sqref="B4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mem_time_results_2026-07-02T19-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Radostin Dimitrov</dc:creator>
  <cp:lastModifiedBy>Radostin Dimitrov</cp:lastModifiedBy>
  <dcterms:created xsi:type="dcterms:W3CDTF">2026-07-02T16:49:16Z</dcterms:created>
  <dcterms:modified xsi:type="dcterms:W3CDTF">2026-07-04T12:37:10Z</dcterms:modified>
</cp:coreProperties>
</file>