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semester_2\Parallel_Programming_Python\primes\documentation\"/>
    </mc:Choice>
  </mc:AlternateContent>
  <xr:revisionPtr revIDLastSave="0" documentId="13_ncr:1_{67E60DF8-975A-499E-BBEF-26F9BD25CF98}" xr6:coauthVersionLast="47" xr6:coauthVersionMax="47" xr10:uidLastSave="{00000000-0000-0000-0000-000000000000}"/>
  <bookViews>
    <workbookView xWindow="1860" yWindow="1860" windowWidth="26010" windowHeight="15240" activeTab="1" xr2:uid="{00000000-000D-0000-FFFF-FFFF00000000}"/>
  </bookViews>
  <sheets>
    <sheet name="Formatted for report" sheetId="1" r:id="rId1"/>
    <sheet name="All unhidd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0" i="2" l="1"/>
  <c r="K47" i="2"/>
  <c r="S50" i="2" l="1"/>
  <c r="J54" i="2"/>
  <c r="J55" i="2"/>
  <c r="J56" i="2"/>
  <c r="J57" i="2"/>
  <c r="J41" i="2"/>
  <c r="J42" i="2"/>
  <c r="J43" i="2"/>
  <c r="J44" i="2"/>
  <c r="J45" i="2"/>
  <c r="K57" i="2"/>
  <c r="L57" i="2" s="1"/>
  <c r="C57" i="2"/>
  <c r="E57" i="2" s="1"/>
  <c r="K56" i="2"/>
  <c r="L56" i="2" s="1"/>
  <c r="C56" i="2"/>
  <c r="S56" i="2" s="1"/>
  <c r="K55" i="2"/>
  <c r="L55" i="2" s="1"/>
  <c r="C55" i="2"/>
  <c r="E55" i="2" s="1"/>
  <c r="O55" i="2" s="1"/>
  <c r="K54" i="2"/>
  <c r="L54" i="2" s="1"/>
  <c r="C54" i="2"/>
  <c r="S54" i="2" s="1"/>
  <c r="U54" i="2" s="1"/>
  <c r="K53" i="2"/>
  <c r="L53" i="2" s="1"/>
  <c r="J53" i="2"/>
  <c r="C53" i="2"/>
  <c r="S53" i="2" s="1"/>
  <c r="U53" i="2" s="1"/>
  <c r="K52" i="2"/>
  <c r="L52" i="2" s="1"/>
  <c r="J52" i="2"/>
  <c r="C52" i="2"/>
  <c r="E52" i="2" s="1"/>
  <c r="K51" i="2"/>
  <c r="L51" i="2" s="1"/>
  <c r="J51" i="2"/>
  <c r="C51" i="2"/>
  <c r="E51" i="2" s="1"/>
  <c r="O50" i="2"/>
  <c r="E50" i="2"/>
  <c r="F50" i="2" s="1"/>
  <c r="B50" i="2"/>
  <c r="K50" i="2" s="1"/>
  <c r="L50" i="2" s="1"/>
  <c r="K49" i="2"/>
  <c r="L49" i="2" s="1"/>
  <c r="J49" i="2"/>
  <c r="C49" i="2"/>
  <c r="M49" i="2" s="1"/>
  <c r="B49" i="2"/>
  <c r="K48" i="2"/>
  <c r="L48" i="2" s="1"/>
  <c r="J48" i="2"/>
  <c r="C48" i="2"/>
  <c r="M48" i="2" s="1"/>
  <c r="N48" i="2" s="1"/>
  <c r="L47" i="2"/>
  <c r="J47" i="2"/>
  <c r="E47" i="2"/>
  <c r="O47" i="2" s="1"/>
  <c r="P47" i="2" s="1"/>
  <c r="C47" i="2"/>
  <c r="M47" i="2" s="1"/>
  <c r="N47" i="2" s="1"/>
  <c r="K46" i="2"/>
  <c r="L46" i="2" s="1"/>
  <c r="J46" i="2"/>
  <c r="C46" i="2"/>
  <c r="E46" i="2" s="1"/>
  <c r="K45" i="2"/>
  <c r="L45" i="2" s="1"/>
  <c r="C45" i="2"/>
  <c r="E45" i="2" s="1"/>
  <c r="C44" i="2"/>
  <c r="S44" i="2" s="1"/>
  <c r="C43" i="2"/>
  <c r="S43" i="2" s="1"/>
  <c r="U43" i="2" s="1"/>
  <c r="C42" i="2"/>
  <c r="S42" i="2" s="1"/>
  <c r="U42" i="2" s="1"/>
  <c r="C41" i="2"/>
  <c r="E41" i="2" s="1"/>
  <c r="C31" i="2"/>
  <c r="E31" i="2" s="1"/>
  <c r="F31" i="2" s="1"/>
  <c r="L30" i="2"/>
  <c r="C30" i="2"/>
  <c r="E30" i="2" s="1"/>
  <c r="F30" i="2" s="1"/>
  <c r="L29" i="2"/>
  <c r="C29" i="2"/>
  <c r="E29" i="2" s="1"/>
  <c r="F29" i="2" s="1"/>
  <c r="L28" i="2"/>
  <c r="C28" i="2"/>
  <c r="E28" i="2" s="1"/>
  <c r="F28" i="2" s="1"/>
  <c r="L27" i="2"/>
  <c r="C27" i="2"/>
  <c r="E27" i="2" s="1"/>
  <c r="F27" i="2" s="1"/>
  <c r="L26" i="2"/>
  <c r="C26" i="2"/>
  <c r="E26" i="2" s="1"/>
  <c r="F26" i="2" s="1"/>
  <c r="L25" i="2"/>
  <c r="C25" i="2"/>
  <c r="E25" i="2" s="1"/>
  <c r="F25" i="2" s="1"/>
  <c r="L24" i="2"/>
  <c r="C24" i="2"/>
  <c r="E24" i="2" s="1"/>
  <c r="F24" i="2" s="1"/>
  <c r="L23" i="2"/>
  <c r="C23" i="2"/>
  <c r="E23" i="2" s="1"/>
  <c r="F23" i="2" s="1"/>
  <c r="L22" i="2"/>
  <c r="C22" i="2"/>
  <c r="E22" i="2" s="1"/>
  <c r="F22" i="2" s="1"/>
  <c r="K21" i="2"/>
  <c r="L21" i="2" s="1"/>
  <c r="C21" i="2"/>
  <c r="E21" i="2" s="1"/>
  <c r="F21" i="2" s="1"/>
  <c r="K20" i="2"/>
  <c r="L20" i="2" s="1"/>
  <c r="C20" i="2"/>
  <c r="E20" i="2" s="1"/>
  <c r="F20" i="2" s="1"/>
  <c r="K19" i="2"/>
  <c r="L19" i="2" s="1"/>
  <c r="C19" i="2"/>
  <c r="E19" i="2" s="1"/>
  <c r="F19" i="2" s="1"/>
  <c r="K18" i="2"/>
  <c r="L18" i="2" s="1"/>
  <c r="C18" i="2"/>
  <c r="E18" i="2" s="1"/>
  <c r="F18" i="2" s="1"/>
  <c r="K17" i="2"/>
  <c r="L17" i="2" s="1"/>
  <c r="C17" i="2"/>
  <c r="E17" i="2" s="1"/>
  <c r="F17" i="2" s="1"/>
  <c r="K16" i="2"/>
  <c r="L16" i="2" s="1"/>
  <c r="C16" i="2"/>
  <c r="E16" i="2" s="1"/>
  <c r="F16" i="2" s="1"/>
  <c r="K15" i="2"/>
  <c r="L15" i="2" s="1"/>
  <c r="C15" i="2"/>
  <c r="E15" i="2" s="1"/>
  <c r="F15" i="2" s="1"/>
  <c r="K14" i="2"/>
  <c r="L14" i="2" s="1"/>
  <c r="C14" i="2"/>
  <c r="E14" i="2" s="1"/>
  <c r="F14" i="2" s="1"/>
  <c r="K13" i="2"/>
  <c r="L13" i="2" s="1"/>
  <c r="C13" i="2"/>
  <c r="E13" i="2" s="1"/>
  <c r="F13" i="2" s="1"/>
  <c r="K12" i="2"/>
  <c r="L12" i="2" s="1"/>
  <c r="C12" i="2"/>
  <c r="B12" i="2" s="1"/>
  <c r="E11" i="2"/>
  <c r="F11" i="2" s="1"/>
  <c r="B11" i="2"/>
  <c r="K11" i="2" s="1"/>
  <c r="L11" i="2" s="1"/>
  <c r="K10" i="2"/>
  <c r="L10" i="2" s="1"/>
  <c r="C10" i="2"/>
  <c r="E10" i="2" s="1"/>
  <c r="F10" i="2" s="1"/>
  <c r="K9" i="2"/>
  <c r="L9" i="2" s="1"/>
  <c r="C9" i="2"/>
  <c r="E9" i="2" s="1"/>
  <c r="F9" i="2" s="1"/>
  <c r="K8" i="2"/>
  <c r="L8" i="2" s="1"/>
  <c r="C8" i="2"/>
  <c r="E8" i="2" s="1"/>
  <c r="F8" i="2" s="1"/>
  <c r="K7" i="2"/>
  <c r="L7" i="2" s="1"/>
  <c r="C7" i="2"/>
  <c r="E7" i="2" s="1"/>
  <c r="F7" i="2" s="1"/>
  <c r="K6" i="2"/>
  <c r="L6" i="2" s="1"/>
  <c r="C6" i="2"/>
  <c r="E6" i="2" s="1"/>
  <c r="F6" i="2" s="1"/>
  <c r="C5" i="2"/>
  <c r="E5" i="2" s="1"/>
  <c r="F5" i="2" s="1"/>
  <c r="C4" i="2"/>
  <c r="E4" i="2" s="1"/>
  <c r="F4" i="2" s="1"/>
  <c r="C3" i="2"/>
  <c r="E3" i="2" s="1"/>
  <c r="F3" i="2" s="1"/>
  <c r="C2" i="2"/>
  <c r="E2" i="2" s="1"/>
  <c r="F2" i="2" s="1"/>
  <c r="M53" i="1"/>
  <c r="N53" i="1" s="1"/>
  <c r="O53" i="1" s="1"/>
  <c r="M54" i="1"/>
  <c r="M55" i="1"/>
  <c r="M56" i="1"/>
  <c r="K57" i="1"/>
  <c r="L57" i="1" s="1"/>
  <c r="C57" i="1"/>
  <c r="E57" i="1" s="1"/>
  <c r="F57" i="1" s="1"/>
  <c r="K56" i="1"/>
  <c r="L56" i="1" s="1"/>
  <c r="C56" i="1"/>
  <c r="E56" i="1" s="1"/>
  <c r="F56" i="1" s="1"/>
  <c r="K55" i="1"/>
  <c r="L55" i="1" s="1"/>
  <c r="C55" i="1"/>
  <c r="E55" i="1" s="1"/>
  <c r="F55" i="1" s="1"/>
  <c r="K54" i="1"/>
  <c r="L54" i="1" s="1"/>
  <c r="C54" i="1"/>
  <c r="E54" i="1" s="1"/>
  <c r="F54" i="1" s="1"/>
  <c r="J46" i="1"/>
  <c r="J47" i="1"/>
  <c r="J48" i="1"/>
  <c r="J49" i="1"/>
  <c r="J51" i="1"/>
  <c r="J52" i="1"/>
  <c r="J53" i="1"/>
  <c r="J45" i="1"/>
  <c r="K45" i="1"/>
  <c r="K53" i="1"/>
  <c r="L53" i="1" s="1"/>
  <c r="C53" i="1"/>
  <c r="E53" i="1" s="1"/>
  <c r="F53" i="1" s="1"/>
  <c r="K52" i="1"/>
  <c r="L52" i="1" s="1"/>
  <c r="C52" i="1"/>
  <c r="E52" i="1" s="1"/>
  <c r="F52" i="1" s="1"/>
  <c r="K51" i="1"/>
  <c r="L51" i="1" s="1"/>
  <c r="C51" i="1"/>
  <c r="E51" i="1" s="1"/>
  <c r="F51" i="1" s="1"/>
  <c r="E50" i="1"/>
  <c r="F50" i="1" s="1"/>
  <c r="B50" i="1"/>
  <c r="K50" i="1" s="1"/>
  <c r="L50" i="1" s="1"/>
  <c r="K49" i="1"/>
  <c r="L49" i="1" s="1"/>
  <c r="C49" i="1"/>
  <c r="E49" i="1" s="1"/>
  <c r="F49" i="1" s="1"/>
  <c r="K48" i="1"/>
  <c r="L48" i="1" s="1"/>
  <c r="C48" i="1"/>
  <c r="E48" i="1" s="1"/>
  <c r="F48" i="1" s="1"/>
  <c r="K47" i="1"/>
  <c r="L47" i="1" s="1"/>
  <c r="C47" i="1"/>
  <c r="E47" i="1" s="1"/>
  <c r="F47" i="1" s="1"/>
  <c r="K46" i="1"/>
  <c r="L46" i="1" s="1"/>
  <c r="C46" i="1"/>
  <c r="E46" i="1" s="1"/>
  <c r="F46" i="1" s="1"/>
  <c r="C45" i="1"/>
  <c r="E45" i="1" s="1"/>
  <c r="F45" i="1" s="1"/>
  <c r="C44" i="1"/>
  <c r="E44" i="1" s="1"/>
  <c r="F44" i="1" s="1"/>
  <c r="C43" i="1"/>
  <c r="E43" i="1" s="1"/>
  <c r="F43" i="1" s="1"/>
  <c r="C42" i="1"/>
  <c r="E42" i="1" s="1"/>
  <c r="F42" i="1" s="1"/>
  <c r="C41" i="1"/>
  <c r="E41" i="1" s="1"/>
  <c r="F41" i="1" s="1"/>
  <c r="E11" i="1"/>
  <c r="F11" i="1" s="1"/>
  <c r="L22" i="1"/>
  <c r="L23" i="1"/>
  <c r="L24" i="1"/>
  <c r="L25" i="1"/>
  <c r="L26" i="1"/>
  <c r="L27" i="1"/>
  <c r="L28" i="1"/>
  <c r="L29" i="1"/>
  <c r="L30" i="1"/>
  <c r="K7" i="1"/>
  <c r="L7" i="1" s="1"/>
  <c r="K6" i="1"/>
  <c r="L6" i="1" s="1"/>
  <c r="K21" i="1"/>
  <c r="L21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13" i="1"/>
  <c r="L13" i="1" s="1"/>
  <c r="K14" i="1"/>
  <c r="L14" i="1" s="1"/>
  <c r="K10" i="1"/>
  <c r="L10" i="1" s="1"/>
  <c r="B11" i="1"/>
  <c r="K11" i="1" s="1"/>
  <c r="L11" i="1" s="1"/>
  <c r="K12" i="1"/>
  <c r="L12" i="1" s="1"/>
  <c r="K8" i="1"/>
  <c r="L8" i="1" s="1"/>
  <c r="K9" i="1"/>
  <c r="L9" i="1" s="1"/>
  <c r="C3" i="1"/>
  <c r="E3" i="1" s="1"/>
  <c r="F3" i="1" s="1"/>
  <c r="C4" i="1"/>
  <c r="E4" i="1" s="1"/>
  <c r="F4" i="1" s="1"/>
  <c r="C5" i="1"/>
  <c r="E5" i="1" s="1"/>
  <c r="F5" i="1" s="1"/>
  <c r="C6" i="1"/>
  <c r="E6" i="1" s="1"/>
  <c r="F6" i="1" s="1"/>
  <c r="C7" i="1"/>
  <c r="E7" i="1" s="1"/>
  <c r="F7" i="1" s="1"/>
  <c r="C8" i="1"/>
  <c r="E8" i="1" s="1"/>
  <c r="F8" i="1" s="1"/>
  <c r="C9" i="1"/>
  <c r="E9" i="1" s="1"/>
  <c r="F9" i="1" s="1"/>
  <c r="C10" i="1"/>
  <c r="B10" i="1" s="1"/>
  <c r="C12" i="1"/>
  <c r="B12" i="1" s="1"/>
  <c r="C13" i="1"/>
  <c r="E13" i="1" s="1"/>
  <c r="F13" i="1" s="1"/>
  <c r="C14" i="1"/>
  <c r="E14" i="1" s="1"/>
  <c r="F14" i="1" s="1"/>
  <c r="C15" i="1"/>
  <c r="E15" i="1" s="1"/>
  <c r="F15" i="1" s="1"/>
  <c r="C16" i="1"/>
  <c r="E16" i="1" s="1"/>
  <c r="F16" i="1" s="1"/>
  <c r="C17" i="1"/>
  <c r="E17" i="1" s="1"/>
  <c r="F17" i="1" s="1"/>
  <c r="C18" i="1"/>
  <c r="E18" i="1" s="1"/>
  <c r="F18" i="1" s="1"/>
  <c r="C19" i="1"/>
  <c r="E19" i="1" s="1"/>
  <c r="F19" i="1" s="1"/>
  <c r="C20" i="1"/>
  <c r="E20" i="1" s="1"/>
  <c r="F20" i="1" s="1"/>
  <c r="C21" i="1"/>
  <c r="E21" i="1" s="1"/>
  <c r="F21" i="1" s="1"/>
  <c r="C22" i="1"/>
  <c r="E22" i="1" s="1"/>
  <c r="F22" i="1" s="1"/>
  <c r="C23" i="1"/>
  <c r="E23" i="1" s="1"/>
  <c r="F23" i="1" s="1"/>
  <c r="C24" i="1"/>
  <c r="E24" i="1" s="1"/>
  <c r="F24" i="1" s="1"/>
  <c r="C25" i="1"/>
  <c r="E25" i="1" s="1"/>
  <c r="F25" i="1" s="1"/>
  <c r="C26" i="1"/>
  <c r="E26" i="1" s="1"/>
  <c r="F26" i="1" s="1"/>
  <c r="C27" i="1"/>
  <c r="E27" i="1" s="1"/>
  <c r="F27" i="1" s="1"/>
  <c r="C28" i="1"/>
  <c r="E28" i="1" s="1"/>
  <c r="F28" i="1" s="1"/>
  <c r="C29" i="1"/>
  <c r="E29" i="1" s="1"/>
  <c r="F29" i="1" s="1"/>
  <c r="C30" i="1"/>
  <c r="E30" i="1" s="1"/>
  <c r="F30" i="1" s="1"/>
  <c r="C31" i="1"/>
  <c r="E31" i="1" s="1"/>
  <c r="C2" i="1"/>
  <c r="E2" i="1" s="1"/>
  <c r="F2" i="1" s="1"/>
  <c r="B10" i="2" l="1"/>
  <c r="B51" i="2"/>
  <c r="N49" i="2"/>
  <c r="M57" i="1"/>
  <c r="N50" i="2"/>
  <c r="E48" i="2"/>
  <c r="T43" i="2"/>
  <c r="E42" i="2"/>
  <c r="F42" i="2" s="1"/>
  <c r="E53" i="2"/>
  <c r="O53" i="2" s="1"/>
  <c r="P53" i="2" s="1"/>
  <c r="T53" i="2"/>
  <c r="E49" i="2"/>
  <c r="O49" i="2" s="1"/>
  <c r="P49" i="2" s="1"/>
  <c r="E44" i="2"/>
  <c r="O44" i="2" s="1"/>
  <c r="P44" i="2" s="1"/>
  <c r="E54" i="2"/>
  <c r="O54" i="2" s="1"/>
  <c r="T54" i="2"/>
  <c r="S57" i="2"/>
  <c r="U57" i="2" s="1"/>
  <c r="P50" i="2"/>
  <c r="R50" i="2" s="1"/>
  <c r="S47" i="2"/>
  <c r="U47" i="2" s="1"/>
  <c r="E56" i="2"/>
  <c r="O56" i="2" s="1"/>
  <c r="S48" i="2"/>
  <c r="U48" i="2" s="1"/>
  <c r="U44" i="2"/>
  <c r="T44" i="2"/>
  <c r="T42" i="2"/>
  <c r="U56" i="2"/>
  <c r="T56" i="2"/>
  <c r="S55" i="2"/>
  <c r="O42" i="2"/>
  <c r="P42" i="2" s="1"/>
  <c r="E43" i="2"/>
  <c r="F43" i="2" s="1"/>
  <c r="S52" i="2"/>
  <c r="U52" i="2" s="1"/>
  <c r="S51" i="2"/>
  <c r="F53" i="2"/>
  <c r="S49" i="2"/>
  <c r="U49" i="2" s="1"/>
  <c r="S46" i="2"/>
  <c r="S45" i="2"/>
  <c r="U45" i="2" s="1"/>
  <c r="S41" i="2"/>
  <c r="E12" i="2"/>
  <c r="F12" i="2" s="1"/>
  <c r="F51" i="2"/>
  <c r="O51" i="2"/>
  <c r="P51" i="2" s="1"/>
  <c r="F45" i="2"/>
  <c r="O45" i="2"/>
  <c r="P45" i="2" s="1"/>
  <c r="Q45" i="2" s="1"/>
  <c r="O41" i="2"/>
  <c r="P41" i="2" s="1"/>
  <c r="F41" i="2"/>
  <c r="F48" i="2"/>
  <c r="O48" i="2"/>
  <c r="P48" i="2" s="1"/>
  <c r="R53" i="2"/>
  <c r="Q53" i="2"/>
  <c r="O52" i="2"/>
  <c r="P52" i="2" s="1"/>
  <c r="F52" i="2"/>
  <c r="O46" i="2"/>
  <c r="P46" i="2" s="1"/>
  <c r="F46" i="2"/>
  <c r="R47" i="2"/>
  <c r="Q47" i="2"/>
  <c r="O57" i="2"/>
  <c r="F57" i="2"/>
  <c r="F55" i="2"/>
  <c r="F47" i="2"/>
  <c r="J50" i="2"/>
  <c r="T50" i="2" s="1"/>
  <c r="H31" i="2"/>
  <c r="K31" i="2" s="1"/>
  <c r="L33" i="2" s="1"/>
  <c r="O43" i="2"/>
  <c r="P43" i="2" s="1"/>
  <c r="F56" i="2"/>
  <c r="P53" i="1"/>
  <c r="M48" i="1"/>
  <c r="N48" i="1" s="1"/>
  <c r="J50" i="1"/>
  <c r="M52" i="1"/>
  <c r="N52" i="1" s="1"/>
  <c r="M41" i="1"/>
  <c r="N41" i="1" s="1"/>
  <c r="M51" i="1"/>
  <c r="N51" i="1" s="1"/>
  <c r="M44" i="1"/>
  <c r="N44" i="1" s="1"/>
  <c r="M42" i="1"/>
  <c r="N42" i="1" s="1"/>
  <c r="M46" i="1"/>
  <c r="N46" i="1" s="1"/>
  <c r="M45" i="1"/>
  <c r="N45" i="1" s="1"/>
  <c r="O45" i="1" s="1"/>
  <c r="B51" i="1"/>
  <c r="B49" i="1"/>
  <c r="M47" i="1"/>
  <c r="N47" i="1" s="1"/>
  <c r="M43" i="1"/>
  <c r="N43" i="1" s="1"/>
  <c r="M50" i="1"/>
  <c r="N50" i="1" s="1"/>
  <c r="M49" i="1"/>
  <c r="N49" i="1" s="1"/>
  <c r="L45" i="1"/>
  <c r="F31" i="1"/>
  <c r="H31" i="1"/>
  <c r="K31" i="1" s="1"/>
  <c r="L33" i="1" s="1"/>
  <c r="E10" i="1"/>
  <c r="F10" i="1" s="1"/>
  <c r="E12" i="1"/>
  <c r="F12" i="1" s="1"/>
  <c r="F49" i="2" l="1"/>
  <c r="Q50" i="2"/>
  <c r="T48" i="2"/>
  <c r="T57" i="2"/>
  <c r="F44" i="2"/>
  <c r="F54" i="2"/>
  <c r="T47" i="2"/>
  <c r="U51" i="2"/>
  <c r="T51" i="2"/>
  <c r="U55" i="2"/>
  <c r="T55" i="2"/>
  <c r="U50" i="2"/>
  <c r="U41" i="2"/>
  <c r="T41" i="2"/>
  <c r="T52" i="2"/>
  <c r="T49" i="2"/>
  <c r="U46" i="2"/>
  <c r="T46" i="2"/>
  <c r="T45" i="2"/>
  <c r="R46" i="2"/>
  <c r="Q46" i="2"/>
  <c r="R52" i="2"/>
  <c r="Q52" i="2"/>
  <c r="R48" i="2"/>
  <c r="Q48" i="2"/>
  <c r="R49" i="2"/>
  <c r="Q49" i="2"/>
  <c r="R51" i="2"/>
  <c r="Q51" i="2"/>
  <c r="O50" i="1"/>
  <c r="P50" i="1"/>
  <c r="O46" i="1"/>
  <c r="P46" i="1"/>
  <c r="O49" i="1"/>
  <c r="P49" i="1"/>
  <c r="O47" i="1"/>
  <c r="P47" i="1"/>
  <c r="O51" i="1"/>
  <c r="P51" i="1"/>
  <c r="O52" i="1"/>
  <c r="P52" i="1"/>
  <c r="O48" i="1"/>
  <c r="P48" i="1"/>
</calcChain>
</file>

<file path=xl/sharedStrings.xml><?xml version="1.0" encoding="utf-8"?>
<sst xmlns="http://schemas.openxmlformats.org/spreadsheetml/2006/main" count="248" uniqueCount="35">
  <si>
    <t>10^N</t>
  </si>
  <si>
    <t>mem for the full list as  4B int
[GB]</t>
  </si>
  <si>
    <t>int</t>
  </si>
  <si>
    <t>long</t>
  </si>
  <si>
    <t>N</t>
  </si>
  <si>
    <t>π(N)</t>
  </si>
  <si>
    <t>Bytes</t>
  </si>
  <si>
    <t>Bits needed for representing N</t>
  </si>
  <si>
    <t>C data type</t>
  </si>
  <si>
    <t>np.uint size</t>
  </si>
  <si>
    <t>np.uint8</t>
  </si>
  <si>
    <t>np.uint16</t>
  </si>
  <si>
    <t>np.uint32</t>
  </si>
  <si>
    <t>np.uint64</t>
  </si>
  <si>
    <t>GB</t>
  </si>
  <si>
    <t>approx 193,635,000</t>
  </si>
  <si>
    <t xml:space="preserve"> kB</t>
  </si>
  <si>
    <t xml:space="preserve"> MB</t>
  </si>
  <si>
    <t xml:space="preserve"> GB</t>
  </si>
  <si>
    <t xml:space="preserve"> PB</t>
  </si>
  <si>
    <t>?</t>
  </si>
  <si>
    <t>Memory for the full array</t>
  </si>
  <si>
    <t>up to the larges uint32</t>
  </si>
  <si>
    <t>largest calculated value of π(N)
 (not of the primes)</t>
  </si>
  <si>
    <t>comment</t>
  </si>
  <si>
    <t>python int size [B]</t>
  </si>
  <si>
    <t>python list size [B]</t>
  </si>
  <si>
    <t>memory of the sieve</t>
  </si>
  <si>
    <t>1.9 10^28 B</t>
  </si>
  <si>
    <t>size [B]</t>
  </si>
  <si>
    <t>[1] https://en.wikipedia.org/wiki/Prime-counting_function</t>
  </si>
  <si>
    <t>Up to the larges uint32;
Approximated value, while the rest are calculated [1]</t>
  </si>
  <si>
    <t>Largest calculated value of π(N)
 (not all primes)</t>
  </si>
  <si>
    <t>Memory of the seive [MB]</t>
  </si>
  <si>
    <t>Full 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</si>
</sst>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E+00"/>
    <numFmt numFmtId="165" formatCode="0E+0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6" fillId="0" borderId="0" xfId="0" applyFont="1"/>
    <xf numFmtId="0" fontId="0" fillId="0" borderId="0" xfId="0" applyNumberFormat="1"/>
    <xf numFmtId="1" fontId="0" fillId="0" borderId="0" xfId="0" applyNumberFormat="1"/>
    <xf numFmtId="0" fontId="0" fillId="0" borderId="0" xfId="0" applyFont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/>
    <xf numFmtId="0" fontId="0" fillId="0" borderId="10" xfId="0" applyBorder="1"/>
    <xf numFmtId="0" fontId="0" fillId="0" borderId="10" xfId="0" applyBorder="1" applyAlignment="1">
      <alignment horizontal="center"/>
    </xf>
    <xf numFmtId="3" fontId="0" fillId="0" borderId="10" xfId="0" applyNumberFormat="1" applyBorder="1"/>
    <xf numFmtId="4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3" fontId="0" fillId="0" borderId="10" xfId="0" applyNumberFormat="1" applyBorder="1" applyAlignment="1">
      <alignment horizontal="right"/>
    </xf>
    <xf numFmtId="3" fontId="0" fillId="0" borderId="10" xfId="0" applyNumberFormat="1" applyFont="1" applyBorder="1"/>
    <xf numFmtId="3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16" fillId="0" borderId="10" xfId="0" applyNumberFormat="1" applyFont="1" applyBorder="1" applyAlignment="1">
      <alignment horizontal="center"/>
    </xf>
    <xf numFmtId="164" fontId="16" fillId="0" borderId="10" xfId="1" applyNumberFormat="1" applyFont="1" applyBorder="1"/>
    <xf numFmtId="165" fontId="16" fillId="0" borderId="10" xfId="0" applyNumberFormat="1" applyFont="1" applyBorder="1"/>
    <xf numFmtId="0" fontId="0" fillId="0" borderId="0" xfId="0" applyNumberForma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 wrapText="1"/>
    </xf>
    <xf numFmtId="165" fontId="0" fillId="0" borderId="14" xfId="0" applyNumberFormat="1" applyBorder="1"/>
    <xf numFmtId="0" fontId="0" fillId="0" borderId="15" xfId="0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4" fontId="16" fillId="0" borderId="14" xfId="1" applyNumberFormat="1" applyFont="1" applyBorder="1"/>
    <xf numFmtId="165" fontId="16" fillId="0" borderId="14" xfId="0" applyNumberFormat="1" applyFont="1" applyBorder="1"/>
    <xf numFmtId="165" fontId="0" fillId="0" borderId="14" xfId="0" applyNumberFormat="1" applyFont="1" applyBorder="1"/>
    <xf numFmtId="165" fontId="0" fillId="0" borderId="16" xfId="0" applyNumberFormat="1" applyBorder="1"/>
    <xf numFmtId="3" fontId="0" fillId="0" borderId="17" xfId="0" applyNumberFormat="1" applyFont="1" applyBorder="1"/>
    <xf numFmtId="0" fontId="0" fillId="0" borderId="17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wrapText="1"/>
    </xf>
    <xf numFmtId="9" fontId="0" fillId="0" borderId="0" xfId="2" applyFont="1"/>
    <xf numFmtId="166" fontId="0" fillId="0" borderId="15" xfId="0" applyNumberFormat="1" applyBorder="1" applyAlignment="1">
      <alignment horizont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6" fontId="16" fillId="0" borderId="0" xfId="0" applyNumberFormat="1" applyFont="1" applyBorder="1" applyAlignment="1">
      <alignment horizontal="center"/>
    </xf>
    <xf numFmtId="3" fontId="0" fillId="0" borderId="0" xfId="0" applyNumberFormat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unhidden'!$C$41:$C$57</c:f>
              <c:numCache>
                <c:formatCode>0E+00</c:formatCode>
                <c:ptCount val="1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  <c:pt idx="9" formatCode="0.000E+00">
                  <c:v>4294967295</c:v>
                </c:pt>
                <c:pt idx="10">
                  <c:v>10000000000</c:v>
                </c:pt>
                <c:pt idx="11">
                  <c:v>100000000000</c:v>
                </c:pt>
                <c:pt idx="12">
                  <c:v>1000000000000</c:v>
                </c:pt>
                <c:pt idx="13">
                  <c:v>10000000000000</c:v>
                </c:pt>
                <c:pt idx="14">
                  <c:v>100000000000000</c:v>
                </c:pt>
                <c:pt idx="15">
                  <c:v>1000000000000000</c:v>
                </c:pt>
                <c:pt idx="16">
                  <c:v>1E+16</c:v>
                </c:pt>
              </c:numCache>
            </c:numRef>
          </c:xVal>
          <c:yVal>
            <c:numRef>
              <c:f>'All unhidden'!$J$41:$J$57</c:f>
              <c:numCache>
                <c:formatCode>0E+00</c:formatCode>
                <c:ptCount val="17"/>
                <c:pt idx="0">
                  <c:v>4</c:v>
                </c:pt>
                <c:pt idx="1">
                  <c:v>25</c:v>
                </c:pt>
                <c:pt idx="2">
                  <c:v>336</c:v>
                </c:pt>
                <c:pt idx="3">
                  <c:v>2458</c:v>
                </c:pt>
                <c:pt idx="4">
                  <c:v>38368</c:v>
                </c:pt>
                <c:pt idx="5">
                  <c:v>313992</c:v>
                </c:pt>
                <c:pt idx="6">
                  <c:v>2658316</c:v>
                </c:pt>
                <c:pt idx="7">
                  <c:v>23045820</c:v>
                </c:pt>
                <c:pt idx="8">
                  <c:v>203390136</c:v>
                </c:pt>
                <c:pt idx="9">
                  <c:v>774541002.16772854</c:v>
                </c:pt>
                <c:pt idx="10">
                  <c:v>3640420088</c:v>
                </c:pt>
                <c:pt idx="11">
                  <c:v>32944438504</c:v>
                </c:pt>
                <c:pt idx="12">
                  <c:v>300863296144</c:v>
                </c:pt>
                <c:pt idx="13">
                  <c:v>2768524294712</c:v>
                </c:pt>
                <c:pt idx="14">
                  <c:v>25639534006416</c:v>
                </c:pt>
                <c:pt idx="15">
                  <c:v>238756563381352</c:v>
                </c:pt>
                <c:pt idx="16">
                  <c:v>2233906728271400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F8-414F-B1AC-7E231EDC759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unhidden'!$C$41:$C$57</c:f>
              <c:numCache>
                <c:formatCode>0E+00</c:formatCode>
                <c:ptCount val="1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  <c:pt idx="9" formatCode="0.000E+00">
                  <c:v>4294967295</c:v>
                </c:pt>
                <c:pt idx="10">
                  <c:v>10000000000</c:v>
                </c:pt>
                <c:pt idx="11">
                  <c:v>100000000000</c:v>
                </c:pt>
                <c:pt idx="12">
                  <c:v>1000000000000</c:v>
                </c:pt>
                <c:pt idx="13">
                  <c:v>10000000000000</c:v>
                </c:pt>
                <c:pt idx="14">
                  <c:v>100000000000000</c:v>
                </c:pt>
                <c:pt idx="15">
                  <c:v>1000000000000000</c:v>
                </c:pt>
                <c:pt idx="16">
                  <c:v>1E+16</c:v>
                </c:pt>
              </c:numCache>
            </c:numRef>
          </c:xVal>
          <c:yVal>
            <c:numRef>
              <c:f>'All unhidden'!$S$41:$S$57</c:f>
              <c:numCache>
                <c:formatCode>0E+00</c:formatCode>
                <c:ptCount val="1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  <c:pt idx="9">
                  <c:v>4294967295</c:v>
                </c:pt>
                <c:pt idx="10">
                  <c:v>10000000000</c:v>
                </c:pt>
                <c:pt idx="11">
                  <c:v>100000000000</c:v>
                </c:pt>
                <c:pt idx="12">
                  <c:v>1000000000000</c:v>
                </c:pt>
                <c:pt idx="13">
                  <c:v>10000000000000</c:v>
                </c:pt>
                <c:pt idx="14">
                  <c:v>100000000000000</c:v>
                </c:pt>
                <c:pt idx="15">
                  <c:v>1000000000000000</c:v>
                </c:pt>
                <c:pt idx="16">
                  <c:v>1E+16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F8-414F-B1AC-7E231EDC7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554096"/>
        <c:axId val="361552016"/>
      </c:scatterChart>
      <c:valAx>
        <c:axId val="3615540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2016"/>
        <c:crosses val="autoZero"/>
        <c:crossBetween val="midCat"/>
      </c:valAx>
      <c:valAx>
        <c:axId val="361552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</a:t>
            </a:r>
            <a:r>
              <a:rPr lang="en-US" baseline="0"/>
              <a:t> of the primes array as a fraction of the sieve array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unhidden'!$S$41:$S$57</c:f>
              <c:numCache>
                <c:formatCode>0E+00</c:formatCode>
                <c:ptCount val="1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  <c:pt idx="9">
                  <c:v>4294967295</c:v>
                </c:pt>
                <c:pt idx="10">
                  <c:v>10000000000</c:v>
                </c:pt>
                <c:pt idx="11">
                  <c:v>100000000000</c:v>
                </c:pt>
                <c:pt idx="12">
                  <c:v>1000000000000</c:v>
                </c:pt>
                <c:pt idx="13">
                  <c:v>10000000000000</c:v>
                </c:pt>
                <c:pt idx="14">
                  <c:v>100000000000000</c:v>
                </c:pt>
                <c:pt idx="15">
                  <c:v>1000000000000000</c:v>
                </c:pt>
                <c:pt idx="16">
                  <c:v>1E+16</c:v>
                </c:pt>
              </c:numCache>
            </c:numRef>
          </c:xVal>
          <c:yVal>
            <c:numRef>
              <c:f>'All unhidden'!$T$41:$T$57</c:f>
              <c:numCache>
                <c:formatCode>0%</c:formatCode>
                <c:ptCount val="17"/>
                <c:pt idx="0">
                  <c:v>0.4</c:v>
                </c:pt>
                <c:pt idx="1">
                  <c:v>0.25</c:v>
                </c:pt>
                <c:pt idx="2">
                  <c:v>0.33600000000000002</c:v>
                </c:pt>
                <c:pt idx="3">
                  <c:v>0.24579999999999999</c:v>
                </c:pt>
                <c:pt idx="4">
                  <c:v>0.38368000000000002</c:v>
                </c:pt>
                <c:pt idx="5">
                  <c:v>0.31399199999999999</c:v>
                </c:pt>
                <c:pt idx="6">
                  <c:v>0.2658316</c:v>
                </c:pt>
                <c:pt idx="7">
                  <c:v>0.2304582</c:v>
                </c:pt>
                <c:pt idx="8">
                  <c:v>0.203390136</c:v>
                </c:pt>
                <c:pt idx="9">
                  <c:v>0.18033688011301341</c:v>
                </c:pt>
                <c:pt idx="10">
                  <c:v>0.36404200879999998</c:v>
                </c:pt>
                <c:pt idx="11">
                  <c:v>0.32944438504000001</c:v>
                </c:pt>
                <c:pt idx="12">
                  <c:v>0.30086329614399998</c:v>
                </c:pt>
                <c:pt idx="13">
                  <c:v>0.27685242947119998</c:v>
                </c:pt>
                <c:pt idx="14">
                  <c:v>0.25639534006415998</c:v>
                </c:pt>
                <c:pt idx="15">
                  <c:v>0.23875656338135201</c:v>
                </c:pt>
                <c:pt idx="16">
                  <c:v>0.22339067282714001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5-4A22-9BC7-BDAB600F4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284176"/>
        <c:axId val="293282096"/>
      </c:scatterChart>
      <c:valAx>
        <c:axId val="2932841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N_max (sieve array size)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2096"/>
        <c:crosses val="autoZero"/>
        <c:crossBetween val="midCat"/>
      </c:valAx>
      <c:valAx>
        <c:axId val="2932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28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unhidden'!$C$41:$C$57</c:f>
              <c:numCache>
                <c:formatCode>0E+00</c:formatCode>
                <c:ptCount val="17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  <c:pt idx="9" formatCode="0.000E+00">
                  <c:v>4294967295</c:v>
                </c:pt>
                <c:pt idx="10">
                  <c:v>10000000000</c:v>
                </c:pt>
                <c:pt idx="11">
                  <c:v>100000000000</c:v>
                </c:pt>
                <c:pt idx="12">
                  <c:v>1000000000000</c:v>
                </c:pt>
                <c:pt idx="13">
                  <c:v>10000000000000</c:v>
                </c:pt>
                <c:pt idx="14">
                  <c:v>100000000000000</c:v>
                </c:pt>
                <c:pt idx="15">
                  <c:v>1000000000000000</c:v>
                </c:pt>
                <c:pt idx="16">
                  <c:v>1E+16</c:v>
                </c:pt>
              </c:numCache>
            </c:numRef>
          </c:xVal>
          <c:yVal>
            <c:numRef>
              <c:f>'All unhidden'!$J$41:$J$57</c:f>
              <c:numCache>
                <c:formatCode>0E+00</c:formatCode>
                <c:ptCount val="17"/>
                <c:pt idx="0">
                  <c:v>4</c:v>
                </c:pt>
                <c:pt idx="1">
                  <c:v>25</c:v>
                </c:pt>
                <c:pt idx="2">
                  <c:v>336</c:v>
                </c:pt>
                <c:pt idx="3">
                  <c:v>2458</c:v>
                </c:pt>
                <c:pt idx="4">
                  <c:v>38368</c:v>
                </c:pt>
                <c:pt idx="5">
                  <c:v>313992</c:v>
                </c:pt>
                <c:pt idx="6">
                  <c:v>2658316</c:v>
                </c:pt>
                <c:pt idx="7">
                  <c:v>23045820</c:v>
                </c:pt>
                <c:pt idx="8">
                  <c:v>203390136</c:v>
                </c:pt>
                <c:pt idx="9">
                  <c:v>774541002.16772854</c:v>
                </c:pt>
                <c:pt idx="10">
                  <c:v>3640420088</c:v>
                </c:pt>
                <c:pt idx="11">
                  <c:v>32944438504</c:v>
                </c:pt>
                <c:pt idx="12">
                  <c:v>300863296144</c:v>
                </c:pt>
                <c:pt idx="13">
                  <c:v>2768524294712</c:v>
                </c:pt>
                <c:pt idx="14">
                  <c:v>25639534006416</c:v>
                </c:pt>
                <c:pt idx="15">
                  <c:v>238756563381352</c:v>
                </c:pt>
                <c:pt idx="16">
                  <c:v>2233906728271400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6-4636-93DB-53ECFB9B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4768"/>
        <c:axId val="538453536"/>
      </c:scatterChart>
      <c:valAx>
        <c:axId val="5384647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53536"/>
        <c:crosses val="autoZero"/>
        <c:crossBetween val="midCat"/>
      </c:valAx>
      <c:valAx>
        <c:axId val="53845353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46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1390650</xdr:colOff>
      <xdr:row>60</xdr:row>
      <xdr:rowOff>80962</xdr:rowOff>
    </xdr:from>
    <xdr:to>
      <xdr:col>9</xdr:col>
      <xdr:colOff>295275</xdr:colOff>
      <xdr:row>74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EA309B-8C22-466F-AC86-AE3970249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409575</xdr:colOff>
      <xdr:row>63</xdr:row>
      <xdr:rowOff>119062</xdr:rowOff>
    </xdr:from>
    <xdr:to>
      <xdr:col>13</xdr:col>
      <xdr:colOff>838200</xdr:colOff>
      <xdr:row>78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0543D-9734-44EC-96AC-22BE44207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1166812</xdr:colOff>
      <xdr:row>76</xdr:row>
      <xdr:rowOff>61912</xdr:rowOff>
    </xdr:from>
    <xdr:to>
      <xdr:col>9</xdr:col>
      <xdr:colOff>71437</xdr:colOff>
      <xdr:row>90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AC234A-3E79-4F5D-A27E-DD5D1DABFA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opLeftCell="A30" workbookViewId="0">
      <selection activeCell="M57" sqref="M57"/>
    </sheetView>
  </sheetViews>
  <sheetFormatPr defaultRowHeight="15" x14ac:dyDescent="0.25"/>
  <cols>
    <col min="2" max="2" width="12.5703125" bestFit="1" customWidth="1"/>
    <col min="3" max="3" width="10.7109375" customWidth="1"/>
    <col min="4" max="4" width="35" customWidth="1"/>
    <col min="5" max="5" width="15.140625" style="3" customWidth="1"/>
    <col min="6" max="6" width="9.140625" style="3" hidden="1" customWidth="1"/>
    <col min="7" max="7" width="13.140625" style="3" customWidth="1"/>
    <col min="8" max="10" width="6.28515625" style="3" hidden="1" customWidth="1"/>
    <col min="11" max="11" width="15.85546875" style="3" hidden="1" customWidth="1"/>
    <col min="12" max="12" width="16.28515625" style="3" customWidth="1"/>
    <col min="13" max="13" width="31.42578125" style="3" customWidth="1"/>
    <col min="14" max="14" width="13" customWidth="1"/>
    <col min="15" max="15" width="18.85546875" customWidth="1"/>
    <col min="16" max="16" width="10.5703125" bestFit="1" customWidth="1"/>
  </cols>
  <sheetData>
    <row r="1" spans="1:15" ht="45" x14ac:dyDescent="0.25">
      <c r="A1" s="4" t="s">
        <v>0</v>
      </c>
      <c r="B1" s="4"/>
      <c r="C1" s="26" t="s">
        <v>4</v>
      </c>
      <c r="D1" s="27" t="s">
        <v>5</v>
      </c>
      <c r="E1" s="28" t="s">
        <v>7</v>
      </c>
      <c r="F1" s="27" t="s">
        <v>6</v>
      </c>
      <c r="G1" s="28" t="s">
        <v>9</v>
      </c>
      <c r="H1" s="28"/>
      <c r="I1" s="28"/>
      <c r="J1" s="28"/>
      <c r="K1" s="29"/>
      <c r="L1" s="28" t="s">
        <v>21</v>
      </c>
      <c r="M1" s="30" t="s">
        <v>24</v>
      </c>
      <c r="N1" s="3" t="s">
        <v>8</v>
      </c>
      <c r="O1" s="2" t="s">
        <v>1</v>
      </c>
    </row>
    <row r="2" spans="1:15" x14ac:dyDescent="0.25">
      <c r="A2">
        <v>1</v>
      </c>
      <c r="C2" s="31">
        <f>10^A2</f>
        <v>10</v>
      </c>
      <c r="D2" s="12">
        <v>4</v>
      </c>
      <c r="E2" s="13">
        <f t="shared" ref="E2:E31" si="0">_xlfn.CEILING.MATH(LOG(C2,2))</f>
        <v>4</v>
      </c>
      <c r="F2" s="13">
        <f t="shared" ref="F2:F30" si="1">_xlfn.CEILING.MATH(E2/8)</f>
        <v>1</v>
      </c>
      <c r="G2" s="13" t="s">
        <v>10</v>
      </c>
      <c r="H2" s="13">
        <v>1</v>
      </c>
      <c r="I2" s="13"/>
      <c r="J2" s="13"/>
      <c r="K2" s="13"/>
      <c r="L2" s="13"/>
      <c r="M2" s="32"/>
      <c r="N2" t="s">
        <v>2</v>
      </c>
    </row>
    <row r="3" spans="1:15" x14ac:dyDescent="0.25">
      <c r="A3">
        <v>2</v>
      </c>
      <c r="C3" s="31">
        <f t="shared" ref="C3:C31" si="2">10^A3</f>
        <v>100</v>
      </c>
      <c r="D3" s="12">
        <v>25</v>
      </c>
      <c r="E3" s="13">
        <f t="shared" si="0"/>
        <v>7</v>
      </c>
      <c r="F3" s="13">
        <f t="shared" si="1"/>
        <v>1</v>
      </c>
      <c r="G3" s="13" t="s">
        <v>10</v>
      </c>
      <c r="H3" s="13">
        <v>1</v>
      </c>
      <c r="I3" s="13"/>
      <c r="J3" s="13"/>
      <c r="K3" s="13"/>
      <c r="L3" s="13"/>
      <c r="M3" s="32"/>
      <c r="N3" t="s">
        <v>2</v>
      </c>
    </row>
    <row r="4" spans="1:15" x14ac:dyDescent="0.25">
      <c r="A4">
        <v>3</v>
      </c>
      <c r="C4" s="31">
        <f t="shared" si="2"/>
        <v>1000</v>
      </c>
      <c r="D4" s="12">
        <v>168</v>
      </c>
      <c r="E4" s="13">
        <f t="shared" si="0"/>
        <v>10</v>
      </c>
      <c r="F4" s="13">
        <f t="shared" si="1"/>
        <v>2</v>
      </c>
      <c r="G4" s="13" t="s">
        <v>11</v>
      </c>
      <c r="H4" s="13">
        <v>2</v>
      </c>
      <c r="I4" s="13"/>
      <c r="J4" s="13"/>
      <c r="K4" s="13"/>
      <c r="L4" s="13"/>
      <c r="M4" s="32"/>
      <c r="N4" t="s">
        <v>2</v>
      </c>
      <c r="O4">
        <v>0</v>
      </c>
    </row>
    <row r="5" spans="1:15" x14ac:dyDescent="0.25">
      <c r="A5">
        <v>4</v>
      </c>
      <c r="C5" s="31">
        <f t="shared" si="2"/>
        <v>10000</v>
      </c>
      <c r="D5" s="14">
        <v>1229</v>
      </c>
      <c r="E5" s="13">
        <f t="shared" si="0"/>
        <v>14</v>
      </c>
      <c r="F5" s="13">
        <f t="shared" si="1"/>
        <v>2</v>
      </c>
      <c r="G5" s="13" t="s">
        <v>11</v>
      </c>
      <c r="H5" s="13">
        <v>2</v>
      </c>
      <c r="I5" s="13"/>
      <c r="J5" s="13"/>
      <c r="K5" s="13"/>
      <c r="L5" s="13"/>
      <c r="M5" s="32"/>
      <c r="N5" t="s">
        <v>2</v>
      </c>
      <c r="O5">
        <v>0</v>
      </c>
    </row>
    <row r="6" spans="1:15" x14ac:dyDescent="0.25">
      <c r="A6">
        <v>5</v>
      </c>
      <c r="C6" s="31">
        <f t="shared" si="2"/>
        <v>100000</v>
      </c>
      <c r="D6" s="14">
        <v>9592</v>
      </c>
      <c r="E6" s="13">
        <f t="shared" si="0"/>
        <v>17</v>
      </c>
      <c r="F6" s="13">
        <f t="shared" si="1"/>
        <v>3</v>
      </c>
      <c r="G6" s="13" t="s">
        <v>12</v>
      </c>
      <c r="H6" s="13">
        <v>4</v>
      </c>
      <c r="I6" s="13" t="s">
        <v>16</v>
      </c>
      <c r="J6" s="13"/>
      <c r="K6" s="15">
        <f>D6*H6 / 10^3</f>
        <v>38.368000000000002</v>
      </c>
      <c r="L6" s="16" t="str">
        <f>_xlfn.CONCAT(TEXT(K6, "#,00"), I6)</f>
        <v>38 kB</v>
      </c>
      <c r="M6" s="33"/>
      <c r="N6" t="s">
        <v>2</v>
      </c>
      <c r="O6">
        <v>0</v>
      </c>
    </row>
    <row r="7" spans="1:15" x14ac:dyDescent="0.25">
      <c r="A7">
        <v>6</v>
      </c>
      <c r="C7" s="31">
        <f t="shared" si="2"/>
        <v>1000000</v>
      </c>
      <c r="D7" s="14">
        <v>78498</v>
      </c>
      <c r="E7" s="13">
        <f t="shared" si="0"/>
        <v>20</v>
      </c>
      <c r="F7" s="13">
        <f t="shared" si="1"/>
        <v>3</v>
      </c>
      <c r="G7" s="13" t="s">
        <v>12</v>
      </c>
      <c r="H7" s="13">
        <v>4</v>
      </c>
      <c r="I7" s="13" t="s">
        <v>16</v>
      </c>
      <c r="J7" s="13"/>
      <c r="K7" s="15">
        <f>D7*H7 / 10^3</f>
        <v>313.99200000000002</v>
      </c>
      <c r="L7" s="16" t="str">
        <f t="shared" ref="L7" si="3">_xlfn.CONCAT(TEXT(K7, "#,0"), I7)</f>
        <v>314 kB</v>
      </c>
      <c r="M7" s="33"/>
      <c r="N7" t="s">
        <v>2</v>
      </c>
      <c r="O7">
        <v>0</v>
      </c>
    </row>
    <row r="8" spans="1:15" x14ac:dyDescent="0.25">
      <c r="A8">
        <v>7</v>
      </c>
      <c r="C8" s="31">
        <f t="shared" si="2"/>
        <v>10000000</v>
      </c>
      <c r="D8" s="14">
        <v>664579</v>
      </c>
      <c r="E8" s="13">
        <f t="shared" si="0"/>
        <v>24</v>
      </c>
      <c r="F8" s="13">
        <f t="shared" si="1"/>
        <v>3</v>
      </c>
      <c r="G8" s="13" t="s">
        <v>12</v>
      </c>
      <c r="H8" s="13">
        <v>4</v>
      </c>
      <c r="I8" s="13" t="s">
        <v>17</v>
      </c>
      <c r="J8" s="13"/>
      <c r="K8" s="15">
        <f>D8*H8 / 10^6</f>
        <v>2.6583160000000001</v>
      </c>
      <c r="L8" s="16" t="str">
        <f t="shared" ref="L8:L13" si="4">_xlfn.CONCAT(TEXT(K8, "0.0"), I8)</f>
        <v>2.7 MB</v>
      </c>
      <c r="M8" s="33"/>
      <c r="N8" t="s">
        <v>2</v>
      </c>
      <c r="O8">
        <v>0</v>
      </c>
    </row>
    <row r="9" spans="1:15" x14ac:dyDescent="0.25">
      <c r="A9">
        <v>8</v>
      </c>
      <c r="C9" s="31">
        <f t="shared" si="2"/>
        <v>100000000</v>
      </c>
      <c r="D9" s="14">
        <v>5761455</v>
      </c>
      <c r="E9" s="13">
        <f t="shared" si="0"/>
        <v>27</v>
      </c>
      <c r="F9" s="13">
        <f t="shared" si="1"/>
        <v>4</v>
      </c>
      <c r="G9" s="13" t="s">
        <v>12</v>
      </c>
      <c r="H9" s="13">
        <v>4</v>
      </c>
      <c r="I9" s="13" t="s">
        <v>17</v>
      </c>
      <c r="J9" s="13"/>
      <c r="K9" s="15">
        <f>D9*H9 / 10^6</f>
        <v>23.045819999999999</v>
      </c>
      <c r="L9" s="16" t="str">
        <f t="shared" si="4"/>
        <v>23.0 MB</v>
      </c>
      <c r="M9" s="33"/>
      <c r="N9" t="s">
        <v>2</v>
      </c>
      <c r="O9">
        <v>0.02</v>
      </c>
    </row>
    <row r="10" spans="1:15" x14ac:dyDescent="0.25">
      <c r="A10">
        <v>9</v>
      </c>
      <c r="B10" s="6">
        <f>C10/LN(C10)</f>
        <v>48254942.433694646</v>
      </c>
      <c r="C10" s="31">
        <f t="shared" si="2"/>
        <v>1000000000</v>
      </c>
      <c r="D10" s="14">
        <v>50847534</v>
      </c>
      <c r="E10" s="13">
        <f>_xlfn.CEILING.MATH(LOG(C10,2))</f>
        <v>30</v>
      </c>
      <c r="F10" s="13">
        <f t="shared" si="1"/>
        <v>4</v>
      </c>
      <c r="G10" s="13" t="s">
        <v>12</v>
      </c>
      <c r="H10" s="13">
        <v>4</v>
      </c>
      <c r="I10" s="13" t="s">
        <v>17</v>
      </c>
      <c r="J10" s="13"/>
      <c r="K10" s="15">
        <f>D10*H10 / 10^6</f>
        <v>203.39013600000001</v>
      </c>
      <c r="L10" s="16" t="str">
        <f t="shared" si="4"/>
        <v>203.4 MB</v>
      </c>
      <c r="M10" s="33"/>
      <c r="N10" t="s">
        <v>2</v>
      </c>
      <c r="O10">
        <v>0.2</v>
      </c>
    </row>
    <row r="11" spans="1:15" ht="45" x14ac:dyDescent="0.25">
      <c r="B11" s="6">
        <f>C11/LN(C11)</f>
        <v>193635250.54193214</v>
      </c>
      <c r="C11" s="34">
        <v>4294967295</v>
      </c>
      <c r="D11" s="17" t="s">
        <v>15</v>
      </c>
      <c r="E11" s="13">
        <f t="shared" si="0"/>
        <v>32</v>
      </c>
      <c r="F11" s="13">
        <f t="shared" si="1"/>
        <v>4</v>
      </c>
      <c r="G11" s="13" t="s">
        <v>12</v>
      </c>
      <c r="H11" s="13">
        <v>4</v>
      </c>
      <c r="I11" s="13" t="s">
        <v>17</v>
      </c>
      <c r="J11" s="13"/>
      <c r="K11" s="15">
        <f>B11*H11 / 10^6</f>
        <v>774.54100216772849</v>
      </c>
      <c r="L11" s="21" t="str">
        <f t="shared" si="4"/>
        <v>774.5 MB</v>
      </c>
      <c r="M11" s="44" t="s">
        <v>31</v>
      </c>
    </row>
    <row r="12" spans="1:15" x14ac:dyDescent="0.25">
      <c r="A12">
        <v>10</v>
      </c>
      <c r="B12" s="6">
        <f>C12/LN(C12)</f>
        <v>434294481.90325183</v>
      </c>
      <c r="C12" s="35">
        <f t="shared" si="2"/>
        <v>10000000000</v>
      </c>
      <c r="D12" s="14">
        <v>455052511</v>
      </c>
      <c r="E12" s="13">
        <f t="shared" si="0"/>
        <v>34</v>
      </c>
      <c r="F12" s="13">
        <f t="shared" si="1"/>
        <v>5</v>
      </c>
      <c r="G12" s="13" t="s">
        <v>13</v>
      </c>
      <c r="H12" s="13">
        <v>8</v>
      </c>
      <c r="I12" s="13" t="s">
        <v>18</v>
      </c>
      <c r="J12" s="13"/>
      <c r="K12" s="15">
        <f t="shared" ref="K12:K20" si="5">D12*H12 / 10^9</f>
        <v>3.6404200879999999</v>
      </c>
      <c r="L12" s="21" t="str">
        <f t="shared" si="4"/>
        <v>3.6 GB</v>
      </c>
      <c r="M12" s="33"/>
      <c r="N12" t="s">
        <v>3</v>
      </c>
      <c r="O12">
        <v>1.82</v>
      </c>
    </row>
    <row r="13" spans="1:15" x14ac:dyDescent="0.25">
      <c r="A13">
        <v>11</v>
      </c>
      <c r="C13" s="31">
        <f t="shared" si="2"/>
        <v>100000000000</v>
      </c>
      <c r="D13" s="14">
        <v>4118054813</v>
      </c>
      <c r="E13" s="13">
        <f t="shared" si="0"/>
        <v>37</v>
      </c>
      <c r="F13" s="13">
        <f t="shared" si="1"/>
        <v>5</v>
      </c>
      <c r="G13" s="13" t="s">
        <v>13</v>
      </c>
      <c r="H13" s="13">
        <v>8</v>
      </c>
      <c r="I13" s="13" t="s">
        <v>18</v>
      </c>
      <c r="J13" s="13"/>
      <c r="K13" s="15">
        <f t="shared" si="5"/>
        <v>32.944438503999997</v>
      </c>
      <c r="L13" s="16" t="str">
        <f t="shared" si="4"/>
        <v>32.9 GB</v>
      </c>
      <c r="M13" s="33"/>
      <c r="N13" t="s">
        <v>3</v>
      </c>
      <c r="O13">
        <v>16.47</v>
      </c>
    </row>
    <row r="14" spans="1:15" hidden="1" x14ac:dyDescent="0.25">
      <c r="A14">
        <v>12</v>
      </c>
      <c r="C14" s="31">
        <f t="shared" si="2"/>
        <v>1000000000000</v>
      </c>
      <c r="D14" s="14">
        <v>37607912018</v>
      </c>
      <c r="E14" s="13">
        <f t="shared" si="0"/>
        <v>40</v>
      </c>
      <c r="F14" s="13">
        <f t="shared" si="1"/>
        <v>5</v>
      </c>
      <c r="G14" s="13" t="s">
        <v>13</v>
      </c>
      <c r="H14" s="13">
        <v>8</v>
      </c>
      <c r="I14" s="13" t="s">
        <v>18</v>
      </c>
      <c r="J14" s="13"/>
      <c r="K14" s="15">
        <f t="shared" si="5"/>
        <v>300.863296144</v>
      </c>
      <c r="L14" s="16" t="str">
        <f t="shared" ref="L14:L30" si="6">_xlfn.CONCAT(TEXT(K14, "0,0"), I14)</f>
        <v>301 GB</v>
      </c>
      <c r="M14" s="33"/>
      <c r="N14" t="s">
        <v>3</v>
      </c>
      <c r="O14">
        <v>150.43</v>
      </c>
    </row>
    <row r="15" spans="1:15" hidden="1" x14ac:dyDescent="0.25">
      <c r="A15">
        <v>13</v>
      </c>
      <c r="C15" s="31">
        <f t="shared" si="2"/>
        <v>10000000000000</v>
      </c>
      <c r="D15" s="14">
        <v>346065536839</v>
      </c>
      <c r="E15" s="13">
        <f t="shared" si="0"/>
        <v>44</v>
      </c>
      <c r="F15" s="13">
        <f t="shared" si="1"/>
        <v>6</v>
      </c>
      <c r="G15" s="13" t="s">
        <v>13</v>
      </c>
      <c r="H15" s="13">
        <v>8</v>
      </c>
      <c r="I15" s="13" t="s">
        <v>14</v>
      </c>
      <c r="J15" s="13"/>
      <c r="K15" s="15">
        <f t="shared" si="5"/>
        <v>2768.524294712</v>
      </c>
      <c r="L15" s="16" t="str">
        <f t="shared" si="6"/>
        <v>2,769GB</v>
      </c>
      <c r="M15" s="33"/>
      <c r="N15" t="s">
        <v>3</v>
      </c>
    </row>
    <row r="16" spans="1:15" hidden="1" x14ac:dyDescent="0.25">
      <c r="A16">
        <v>14</v>
      </c>
      <c r="C16" s="31">
        <f t="shared" si="2"/>
        <v>100000000000000</v>
      </c>
      <c r="D16" s="14">
        <v>3204941750802</v>
      </c>
      <c r="E16" s="13">
        <f t="shared" si="0"/>
        <v>47</v>
      </c>
      <c r="F16" s="13">
        <f t="shared" si="1"/>
        <v>6</v>
      </c>
      <c r="G16" s="13" t="s">
        <v>13</v>
      </c>
      <c r="H16" s="13">
        <v>8</v>
      </c>
      <c r="I16" s="13" t="s">
        <v>14</v>
      </c>
      <c r="J16" s="13"/>
      <c r="K16" s="15">
        <f t="shared" si="5"/>
        <v>25639.534006416001</v>
      </c>
      <c r="L16" s="16" t="str">
        <f t="shared" si="6"/>
        <v>25,640GB</v>
      </c>
      <c r="M16" s="33"/>
      <c r="N16" t="s">
        <v>3</v>
      </c>
    </row>
    <row r="17" spans="1:14" hidden="1" x14ac:dyDescent="0.25">
      <c r="A17">
        <v>15</v>
      </c>
      <c r="C17" s="31">
        <f t="shared" si="2"/>
        <v>1000000000000000</v>
      </c>
      <c r="D17" s="14">
        <v>29844570422669</v>
      </c>
      <c r="E17" s="13">
        <f t="shared" si="0"/>
        <v>50</v>
      </c>
      <c r="F17" s="13">
        <f t="shared" si="1"/>
        <v>7</v>
      </c>
      <c r="G17" s="13" t="s">
        <v>13</v>
      </c>
      <c r="H17" s="13">
        <v>8</v>
      </c>
      <c r="I17" s="13" t="s">
        <v>14</v>
      </c>
      <c r="J17" s="13"/>
      <c r="K17" s="15">
        <f t="shared" si="5"/>
        <v>238756.563381352</v>
      </c>
      <c r="L17" s="16" t="str">
        <f t="shared" si="6"/>
        <v>238,757GB</v>
      </c>
      <c r="M17" s="33"/>
      <c r="N17" t="s">
        <v>3</v>
      </c>
    </row>
    <row r="18" spans="1:14" hidden="1" x14ac:dyDescent="0.25">
      <c r="A18">
        <v>16</v>
      </c>
      <c r="C18" s="31">
        <f t="shared" si="2"/>
        <v>1E+16</v>
      </c>
      <c r="D18" s="14">
        <v>279238341033925</v>
      </c>
      <c r="E18" s="13">
        <f t="shared" si="0"/>
        <v>54</v>
      </c>
      <c r="F18" s="13">
        <f t="shared" si="1"/>
        <v>7</v>
      </c>
      <c r="G18" s="13" t="s">
        <v>13</v>
      </c>
      <c r="H18" s="13">
        <v>8</v>
      </c>
      <c r="I18" s="13" t="s">
        <v>14</v>
      </c>
      <c r="J18" s="13"/>
      <c r="K18" s="15">
        <f t="shared" si="5"/>
        <v>2233906.7282714001</v>
      </c>
      <c r="L18" s="16" t="str">
        <f t="shared" si="6"/>
        <v>2,233,907GB</v>
      </c>
      <c r="M18" s="33"/>
      <c r="N18" t="s">
        <v>3</v>
      </c>
    </row>
    <row r="19" spans="1:14" hidden="1" x14ac:dyDescent="0.25">
      <c r="A19">
        <v>17</v>
      </c>
      <c r="C19" s="31">
        <f t="shared" si="2"/>
        <v>1E+17</v>
      </c>
      <c r="D19" s="14">
        <v>2623557157654230</v>
      </c>
      <c r="E19" s="13">
        <f t="shared" si="0"/>
        <v>57</v>
      </c>
      <c r="F19" s="13">
        <f t="shared" si="1"/>
        <v>8</v>
      </c>
      <c r="G19" s="13" t="s">
        <v>13</v>
      </c>
      <c r="H19" s="13">
        <v>8</v>
      </c>
      <c r="I19" s="13" t="s">
        <v>14</v>
      </c>
      <c r="J19" s="13"/>
      <c r="K19" s="15">
        <f t="shared" si="5"/>
        <v>20988457.26123384</v>
      </c>
      <c r="L19" s="16" t="str">
        <f t="shared" si="6"/>
        <v>20,988,457GB</v>
      </c>
      <c r="M19" s="33"/>
      <c r="N19" t="s">
        <v>3</v>
      </c>
    </row>
    <row r="20" spans="1:14" ht="1.5" customHeight="1" x14ac:dyDescent="0.25">
      <c r="A20">
        <v>18</v>
      </c>
      <c r="C20" s="31">
        <f t="shared" si="2"/>
        <v>1E+18</v>
      </c>
      <c r="D20" s="14">
        <v>2.47399542877408E+16</v>
      </c>
      <c r="E20" s="13">
        <f t="shared" si="0"/>
        <v>60</v>
      </c>
      <c r="F20" s="13">
        <f t="shared" si="1"/>
        <v>8</v>
      </c>
      <c r="G20" s="13" t="s">
        <v>13</v>
      </c>
      <c r="H20" s="13">
        <v>8</v>
      </c>
      <c r="I20" s="13" t="s">
        <v>14</v>
      </c>
      <c r="J20" s="13"/>
      <c r="K20" s="15">
        <f t="shared" si="5"/>
        <v>197919634.3019264</v>
      </c>
      <c r="L20" s="16" t="str">
        <f t="shared" si="6"/>
        <v>197,919,634GB</v>
      </c>
      <c r="M20" s="33"/>
      <c r="N20" t="s">
        <v>3</v>
      </c>
    </row>
    <row r="21" spans="1:14" x14ac:dyDescent="0.25">
      <c r="A21" s="7">
        <v>19</v>
      </c>
      <c r="B21" s="7"/>
      <c r="C21" s="36">
        <f t="shared" si="2"/>
        <v>1E+19</v>
      </c>
      <c r="D21" s="18">
        <v>2.34057667276344E+17</v>
      </c>
      <c r="E21" s="13">
        <f t="shared" si="0"/>
        <v>64</v>
      </c>
      <c r="F21" s="13">
        <f t="shared" si="1"/>
        <v>8</v>
      </c>
      <c r="G21" s="13" t="s">
        <v>13</v>
      </c>
      <c r="H21" s="13">
        <v>8</v>
      </c>
      <c r="I21" s="13" t="s">
        <v>19</v>
      </c>
      <c r="J21" s="13"/>
      <c r="K21" s="19">
        <f>D21*H21 / 10^15</f>
        <v>1872.461338210752</v>
      </c>
      <c r="L21" s="16" t="str">
        <f t="shared" si="6"/>
        <v>1,872 PB</v>
      </c>
      <c r="M21" s="33"/>
      <c r="N21" s="4" t="s">
        <v>3</v>
      </c>
    </row>
    <row r="22" spans="1:14" hidden="1" x14ac:dyDescent="0.25">
      <c r="A22">
        <v>20</v>
      </c>
      <c r="C22" s="31">
        <f t="shared" si="2"/>
        <v>1E+20</v>
      </c>
      <c r="D22" s="14">
        <v>2.2208196025609101E+18</v>
      </c>
      <c r="E22" s="13">
        <f t="shared" si="0"/>
        <v>67</v>
      </c>
      <c r="F22" s="13">
        <f t="shared" si="1"/>
        <v>9</v>
      </c>
      <c r="G22" s="13"/>
      <c r="H22" s="13"/>
      <c r="I22" s="13" t="s">
        <v>19</v>
      </c>
      <c r="J22" s="13"/>
      <c r="K22" s="13"/>
      <c r="L22" s="16" t="str">
        <f t="shared" si="6"/>
        <v>00 PB</v>
      </c>
      <c r="M22" s="33"/>
    </row>
    <row r="23" spans="1:14" hidden="1" x14ac:dyDescent="0.25">
      <c r="A23">
        <v>21</v>
      </c>
      <c r="C23" s="31">
        <f t="shared" si="2"/>
        <v>1E+21</v>
      </c>
      <c r="D23" s="14">
        <v>2.1127269486018699E+19</v>
      </c>
      <c r="E23" s="13">
        <f t="shared" si="0"/>
        <v>70</v>
      </c>
      <c r="F23" s="13">
        <f t="shared" si="1"/>
        <v>9</v>
      </c>
      <c r="G23" s="13"/>
      <c r="H23" s="13"/>
      <c r="I23" s="13" t="s">
        <v>19</v>
      </c>
      <c r="J23" s="13"/>
      <c r="K23" s="13"/>
      <c r="L23" s="16" t="str">
        <f t="shared" si="6"/>
        <v>00 PB</v>
      </c>
      <c r="M23" s="33"/>
    </row>
    <row r="24" spans="1:14" hidden="1" x14ac:dyDescent="0.25">
      <c r="A24">
        <v>22</v>
      </c>
      <c r="C24" s="31">
        <f t="shared" si="2"/>
        <v>1E+22</v>
      </c>
      <c r="D24" s="14">
        <v>2.01467286689315E+20</v>
      </c>
      <c r="E24" s="13">
        <f t="shared" si="0"/>
        <v>74</v>
      </c>
      <c r="F24" s="13">
        <f t="shared" si="1"/>
        <v>10</v>
      </c>
      <c r="G24" s="13"/>
      <c r="H24" s="13"/>
      <c r="I24" s="13" t="s">
        <v>19</v>
      </c>
      <c r="J24" s="13"/>
      <c r="K24" s="13"/>
      <c r="L24" s="16" t="str">
        <f t="shared" si="6"/>
        <v>00 PB</v>
      </c>
      <c r="M24" s="33"/>
    </row>
    <row r="25" spans="1:14" hidden="1" x14ac:dyDescent="0.25">
      <c r="A25">
        <v>23</v>
      </c>
      <c r="C25" s="31">
        <f t="shared" si="2"/>
        <v>9.9999999999999992E+22</v>
      </c>
      <c r="D25" s="14">
        <v>1.9253203916068E+21</v>
      </c>
      <c r="E25" s="13">
        <f t="shared" si="0"/>
        <v>77</v>
      </c>
      <c r="F25" s="13">
        <f t="shared" si="1"/>
        <v>10</v>
      </c>
      <c r="G25" s="13"/>
      <c r="H25" s="13"/>
      <c r="I25" s="13" t="s">
        <v>19</v>
      </c>
      <c r="J25" s="13"/>
      <c r="K25" s="13"/>
      <c r="L25" s="16" t="str">
        <f t="shared" si="6"/>
        <v>00 PB</v>
      </c>
      <c r="M25" s="33"/>
    </row>
    <row r="26" spans="1:14" hidden="1" x14ac:dyDescent="0.25">
      <c r="A26">
        <v>24</v>
      </c>
      <c r="C26" s="31">
        <f t="shared" si="2"/>
        <v>9.9999999999999998E+23</v>
      </c>
      <c r="D26" s="14">
        <v>1.84355997673492E+22</v>
      </c>
      <c r="E26" s="13">
        <f t="shared" si="0"/>
        <v>80</v>
      </c>
      <c r="F26" s="13">
        <f t="shared" si="1"/>
        <v>10</v>
      </c>
      <c r="G26" s="13"/>
      <c r="H26" s="13"/>
      <c r="I26" s="13" t="s">
        <v>19</v>
      </c>
      <c r="J26" s="13"/>
      <c r="K26" s="13"/>
      <c r="L26" s="16" t="str">
        <f t="shared" si="6"/>
        <v>00 PB</v>
      </c>
      <c r="M26" s="33"/>
    </row>
    <row r="27" spans="1:14" hidden="1" x14ac:dyDescent="0.25">
      <c r="A27">
        <v>25</v>
      </c>
      <c r="C27" s="31">
        <f t="shared" si="2"/>
        <v>1.0000000000000001E+25</v>
      </c>
      <c r="D27" s="14">
        <v>1.7684630939914299E+23</v>
      </c>
      <c r="E27" s="13">
        <f t="shared" si="0"/>
        <v>84</v>
      </c>
      <c r="F27" s="13">
        <f t="shared" si="1"/>
        <v>11</v>
      </c>
      <c r="G27" s="13"/>
      <c r="H27" s="13"/>
      <c r="I27" s="13" t="s">
        <v>19</v>
      </c>
      <c r="J27" s="13"/>
      <c r="K27" s="13"/>
      <c r="L27" s="16" t="str">
        <f t="shared" si="6"/>
        <v>00 PB</v>
      </c>
      <c r="M27" s="33"/>
    </row>
    <row r="28" spans="1:14" hidden="1" x14ac:dyDescent="0.25">
      <c r="A28">
        <v>26</v>
      </c>
      <c r="C28" s="31">
        <f t="shared" si="2"/>
        <v>1E+26</v>
      </c>
      <c r="D28" s="14">
        <v>1.6992467508724299E+24</v>
      </c>
      <c r="E28" s="13">
        <f t="shared" si="0"/>
        <v>87</v>
      </c>
      <c r="F28" s="13">
        <f t="shared" si="1"/>
        <v>11</v>
      </c>
      <c r="G28" s="13"/>
      <c r="H28" s="13"/>
      <c r="I28" s="13" t="s">
        <v>19</v>
      </c>
      <c r="J28" s="13"/>
      <c r="K28" s="13"/>
      <c r="L28" s="16" t="str">
        <f t="shared" si="6"/>
        <v>00 PB</v>
      </c>
      <c r="M28" s="33"/>
    </row>
    <row r="29" spans="1:14" hidden="1" x14ac:dyDescent="0.25">
      <c r="A29">
        <v>27</v>
      </c>
      <c r="C29" s="31">
        <f t="shared" si="2"/>
        <v>1E+27</v>
      </c>
      <c r="D29" s="14">
        <v>1.63524604268416E+25</v>
      </c>
      <c r="E29" s="13">
        <f t="shared" si="0"/>
        <v>90</v>
      </c>
      <c r="F29" s="13">
        <f t="shared" si="1"/>
        <v>12</v>
      </c>
      <c r="G29" s="13"/>
      <c r="H29" s="13"/>
      <c r="I29" s="13" t="s">
        <v>19</v>
      </c>
      <c r="J29" s="13"/>
      <c r="K29" s="13"/>
      <c r="L29" s="16" t="str">
        <f t="shared" si="6"/>
        <v>00 PB</v>
      </c>
      <c r="M29" s="33"/>
    </row>
    <row r="30" spans="1:14" ht="2.25" customHeight="1" x14ac:dyDescent="0.25">
      <c r="A30">
        <v>28</v>
      </c>
      <c r="C30" s="31">
        <f t="shared" si="2"/>
        <v>9.9999999999999996E+27</v>
      </c>
      <c r="D30" s="14">
        <v>1.57589269275973E+26</v>
      </c>
      <c r="E30" s="13">
        <f t="shared" si="0"/>
        <v>94</v>
      </c>
      <c r="F30" s="13">
        <f t="shared" si="1"/>
        <v>12</v>
      </c>
      <c r="G30" s="13"/>
      <c r="H30" s="13"/>
      <c r="I30" s="13" t="s">
        <v>19</v>
      </c>
      <c r="J30" s="13"/>
      <c r="K30" s="13"/>
      <c r="L30" s="16" t="str">
        <f t="shared" si="6"/>
        <v>00 PB</v>
      </c>
      <c r="M30" s="33"/>
    </row>
    <row r="31" spans="1:14" ht="36" customHeight="1" thickBot="1" x14ac:dyDescent="0.3">
      <c r="A31">
        <v>29</v>
      </c>
      <c r="C31" s="37">
        <f t="shared" si="2"/>
        <v>9.9999999999999991E+28</v>
      </c>
      <c r="D31" s="38">
        <v>1.5206981097142701E+27</v>
      </c>
      <c r="E31" s="39">
        <f t="shared" si="0"/>
        <v>97</v>
      </c>
      <c r="F31" s="39">
        <f>_xlfn.CEILING.MATH(E31/8)</f>
        <v>13</v>
      </c>
      <c r="G31" s="39" t="s">
        <v>20</v>
      </c>
      <c r="H31" s="39">
        <f>_xlfn.CEILING.MATH(E31/8)</f>
        <v>13</v>
      </c>
      <c r="I31" s="39" t="s">
        <v>19</v>
      </c>
      <c r="J31" s="39"/>
      <c r="K31" s="40">
        <f>D31*H31 / 10^15</f>
        <v>19769075426285.512</v>
      </c>
      <c r="L31" s="41" t="s">
        <v>28</v>
      </c>
      <c r="M31" s="42" t="s">
        <v>32</v>
      </c>
      <c r="N31" t="s">
        <v>20</v>
      </c>
    </row>
    <row r="33" spans="1:17" x14ac:dyDescent="0.25">
      <c r="L33" s="3" t="str">
        <f>_xlfn.CONCAT(TEXT(K31, "0,0"), I31)</f>
        <v>19,769,075,426,286 PB</v>
      </c>
    </row>
    <row r="35" spans="1:17" x14ac:dyDescent="0.25">
      <c r="M35" s="3" t="s">
        <v>30</v>
      </c>
    </row>
    <row r="40" spans="1:17" ht="30" x14ac:dyDescent="0.25">
      <c r="A40" s="4" t="s">
        <v>0</v>
      </c>
      <c r="B40" s="4"/>
      <c r="C40" s="8" t="s">
        <v>4</v>
      </c>
      <c r="D40" s="8" t="s">
        <v>5</v>
      </c>
      <c r="E40" s="9" t="s">
        <v>7</v>
      </c>
      <c r="F40" s="8" t="s">
        <v>6</v>
      </c>
      <c r="G40" s="9" t="s">
        <v>9</v>
      </c>
      <c r="H40" s="9"/>
      <c r="I40" s="9"/>
      <c r="J40" s="9"/>
      <c r="K40" s="10"/>
      <c r="L40" s="9" t="s">
        <v>21</v>
      </c>
      <c r="M40" s="3" t="s">
        <v>25</v>
      </c>
      <c r="N40" t="s">
        <v>26</v>
      </c>
      <c r="Q40" t="s">
        <v>27</v>
      </c>
    </row>
    <row r="41" spans="1:17" x14ac:dyDescent="0.25">
      <c r="A41">
        <v>1</v>
      </c>
      <c r="C41" s="11">
        <f>10^A41</f>
        <v>10</v>
      </c>
      <c r="D41" s="12">
        <v>4</v>
      </c>
      <c r="E41" s="13">
        <f t="shared" ref="E41:E48" si="7">_xlfn.CEILING.MATH(LOG(C41,2))</f>
        <v>4</v>
      </c>
      <c r="F41" s="13">
        <f t="shared" ref="F41:F57" si="8">_xlfn.CEILING.MATH(E41/8)</f>
        <v>1</v>
      </c>
      <c r="G41" s="13" t="s">
        <v>10</v>
      </c>
      <c r="H41" s="13">
        <v>1</v>
      </c>
      <c r="I41" s="13"/>
      <c r="J41" s="13"/>
      <c r="K41" s="13"/>
      <c r="L41" s="13"/>
      <c r="M41" s="24">
        <f t="shared" ref="M41:M52" si="9">28+4*_xlfn.CEILING.MATH(E41/30)</f>
        <v>32</v>
      </c>
      <c r="N41">
        <f t="shared" ref="N41:N49" si="10">56 + (8+M41)*D41</f>
        <v>216</v>
      </c>
    </row>
    <row r="42" spans="1:17" x14ac:dyDescent="0.25">
      <c r="A42">
        <v>2</v>
      </c>
      <c r="C42" s="11">
        <f t="shared" ref="C42:C57" si="11">10^A42</f>
        <v>100</v>
      </c>
      <c r="D42" s="12">
        <v>25</v>
      </c>
      <c r="E42" s="13">
        <f t="shared" si="7"/>
        <v>7</v>
      </c>
      <c r="F42" s="13">
        <f t="shared" si="8"/>
        <v>1</v>
      </c>
      <c r="G42" s="13" t="s">
        <v>10</v>
      </c>
      <c r="H42" s="13">
        <v>1</v>
      </c>
      <c r="I42" s="13"/>
      <c r="J42" s="13"/>
      <c r="K42" s="13"/>
      <c r="L42" s="13"/>
      <c r="M42" s="24">
        <f t="shared" si="9"/>
        <v>32</v>
      </c>
      <c r="N42">
        <f t="shared" si="10"/>
        <v>1056</v>
      </c>
    </row>
    <row r="43" spans="1:17" x14ac:dyDescent="0.25">
      <c r="A43">
        <v>3</v>
      </c>
      <c r="C43" s="11">
        <f t="shared" si="11"/>
        <v>1000</v>
      </c>
      <c r="D43" s="12">
        <v>168</v>
      </c>
      <c r="E43" s="13">
        <f t="shared" si="7"/>
        <v>10</v>
      </c>
      <c r="F43" s="13">
        <f t="shared" si="8"/>
        <v>2</v>
      </c>
      <c r="G43" s="13" t="s">
        <v>11</v>
      </c>
      <c r="H43" s="13">
        <v>2</v>
      </c>
      <c r="I43" s="13"/>
      <c r="J43" s="13"/>
      <c r="K43" s="13"/>
      <c r="L43" s="13"/>
      <c r="M43" s="24">
        <f t="shared" si="9"/>
        <v>32</v>
      </c>
      <c r="N43">
        <f t="shared" si="10"/>
        <v>6776</v>
      </c>
    </row>
    <row r="44" spans="1:17" x14ac:dyDescent="0.25">
      <c r="A44">
        <v>4</v>
      </c>
      <c r="C44" s="11">
        <f t="shared" si="11"/>
        <v>10000</v>
      </c>
      <c r="D44" s="14">
        <v>1229</v>
      </c>
      <c r="E44" s="13">
        <f t="shared" si="7"/>
        <v>14</v>
      </c>
      <c r="F44" s="13">
        <f t="shared" si="8"/>
        <v>2</v>
      </c>
      <c r="G44" s="13" t="s">
        <v>11</v>
      </c>
      <c r="H44" s="13">
        <v>2</v>
      </c>
      <c r="I44" s="13"/>
      <c r="J44" s="13"/>
      <c r="K44" s="13"/>
      <c r="L44" s="13"/>
      <c r="M44" s="24">
        <f t="shared" si="9"/>
        <v>32</v>
      </c>
      <c r="N44">
        <f t="shared" si="10"/>
        <v>49216</v>
      </c>
    </row>
    <row r="45" spans="1:17" x14ac:dyDescent="0.25">
      <c r="A45">
        <v>5</v>
      </c>
      <c r="C45" s="11">
        <f t="shared" si="11"/>
        <v>100000</v>
      </c>
      <c r="D45" s="14">
        <v>9592</v>
      </c>
      <c r="E45" s="13">
        <f t="shared" si="7"/>
        <v>17</v>
      </c>
      <c r="F45" s="13">
        <f t="shared" si="8"/>
        <v>3</v>
      </c>
      <c r="G45" s="13" t="s">
        <v>12</v>
      </c>
      <c r="H45" s="13">
        <v>4</v>
      </c>
      <c r="I45" s="13" t="s">
        <v>16</v>
      </c>
      <c r="J45" s="13">
        <f>D45*H45</f>
        <v>38368</v>
      </c>
      <c r="K45" s="15">
        <f>D45*H45 / 10^3</f>
        <v>38.368000000000002</v>
      </c>
      <c r="L45" s="16" t="str">
        <f>_xlfn.CONCAT(TEXT(K45, "#,00"), I45)</f>
        <v>38 kB</v>
      </c>
      <c r="M45" s="24">
        <f t="shared" si="9"/>
        <v>32</v>
      </c>
      <c r="N45">
        <f t="shared" si="10"/>
        <v>383736</v>
      </c>
      <c r="O45" s="19">
        <f>N45/10^3</f>
        <v>383.73599999999999</v>
      </c>
    </row>
    <row r="46" spans="1:17" x14ac:dyDescent="0.25">
      <c r="A46">
        <v>6</v>
      </c>
      <c r="C46" s="11">
        <f t="shared" si="11"/>
        <v>1000000</v>
      </c>
      <c r="D46" s="14">
        <v>78498</v>
      </c>
      <c r="E46" s="13">
        <f t="shared" si="7"/>
        <v>20</v>
      </c>
      <c r="F46" s="13">
        <f t="shared" si="8"/>
        <v>3</v>
      </c>
      <c r="G46" s="13" t="s">
        <v>12</v>
      </c>
      <c r="H46" s="13">
        <v>4</v>
      </c>
      <c r="I46" s="13" t="s">
        <v>16</v>
      </c>
      <c r="J46" s="13">
        <f t="shared" ref="J46:J53" si="12">D46*H46</f>
        <v>313992</v>
      </c>
      <c r="K46" s="15">
        <f>D46*H46 / 10^3</f>
        <v>313.99200000000002</v>
      </c>
      <c r="L46" s="16" t="str">
        <f t="shared" ref="L46" si="13">_xlfn.CONCAT(TEXT(K46, "#,0"), I46)</f>
        <v>314 kB</v>
      </c>
      <c r="M46" s="24">
        <f t="shared" si="9"/>
        <v>32</v>
      </c>
      <c r="N46">
        <f t="shared" si="10"/>
        <v>3139976</v>
      </c>
      <c r="O46" s="16">
        <f>N46/10^6</f>
        <v>3.1399759999999999</v>
      </c>
      <c r="P46" s="6">
        <f>N46/J45</f>
        <v>81.838407005838192</v>
      </c>
    </row>
    <row r="47" spans="1:17" x14ac:dyDescent="0.25">
      <c r="A47">
        <v>7</v>
      </c>
      <c r="C47" s="11">
        <f t="shared" si="11"/>
        <v>10000000</v>
      </c>
      <c r="D47" s="14">
        <v>664579</v>
      </c>
      <c r="E47" s="13">
        <f t="shared" si="7"/>
        <v>24</v>
      </c>
      <c r="F47" s="13">
        <f t="shared" si="8"/>
        <v>3</v>
      </c>
      <c r="G47" s="13" t="s">
        <v>12</v>
      </c>
      <c r="H47" s="13">
        <v>4</v>
      </c>
      <c r="I47" s="13" t="s">
        <v>17</v>
      </c>
      <c r="J47" s="13">
        <f t="shared" si="12"/>
        <v>2658316</v>
      </c>
      <c r="K47" s="15">
        <f>D47*H47 / 10^6</f>
        <v>2.6583160000000001</v>
      </c>
      <c r="L47" s="16" t="str">
        <f t="shared" ref="L47:L52" si="14">_xlfn.CONCAT(TEXT(K47, "0.0"), I47)</f>
        <v>2.7 MB</v>
      </c>
      <c r="M47" s="24">
        <f t="shared" si="9"/>
        <v>32</v>
      </c>
      <c r="N47">
        <f t="shared" si="10"/>
        <v>26583216</v>
      </c>
      <c r="O47" s="19">
        <f>N47/10^6</f>
        <v>26.583216</v>
      </c>
      <c r="P47" s="6">
        <f t="shared" ref="P47:P53" si="15">N47/J46</f>
        <v>84.66208056256211</v>
      </c>
    </row>
    <row r="48" spans="1:17" x14ac:dyDescent="0.25">
      <c r="A48">
        <v>8</v>
      </c>
      <c r="C48" s="11">
        <f t="shared" si="11"/>
        <v>100000000</v>
      </c>
      <c r="D48" s="14">
        <v>5761455</v>
      </c>
      <c r="E48" s="13">
        <f t="shared" si="7"/>
        <v>27</v>
      </c>
      <c r="F48" s="13">
        <f t="shared" si="8"/>
        <v>4</v>
      </c>
      <c r="G48" s="13" t="s">
        <v>12</v>
      </c>
      <c r="H48" s="13">
        <v>4</v>
      </c>
      <c r="I48" s="13" t="s">
        <v>17</v>
      </c>
      <c r="J48" s="13">
        <f t="shared" si="12"/>
        <v>23045820</v>
      </c>
      <c r="K48" s="15">
        <f>D48*H48 / 10^6</f>
        <v>23.045819999999999</v>
      </c>
      <c r="L48" s="16" t="str">
        <f t="shared" si="14"/>
        <v>23.0 MB</v>
      </c>
      <c r="M48" s="24">
        <f t="shared" si="9"/>
        <v>32</v>
      </c>
      <c r="N48">
        <f t="shared" si="10"/>
        <v>230458256</v>
      </c>
      <c r="O48" s="19">
        <f t="shared" ref="O48:O50" si="16">N48/10^6</f>
        <v>230.45825600000001</v>
      </c>
      <c r="P48" s="6">
        <f t="shared" si="15"/>
        <v>86.693326150841358</v>
      </c>
    </row>
    <row r="49" spans="1:16" x14ac:dyDescent="0.25">
      <c r="A49">
        <v>9</v>
      </c>
      <c r="B49" s="6">
        <f>C49/LN(C49)</f>
        <v>48254942.433694646</v>
      </c>
      <c r="C49" s="11">
        <f t="shared" si="11"/>
        <v>1000000000</v>
      </c>
      <c r="D49" s="14">
        <v>50847534</v>
      </c>
      <c r="E49" s="13">
        <f>_xlfn.CEILING.MATH(LOG(C49,2))</f>
        <v>30</v>
      </c>
      <c r="F49" s="13">
        <f t="shared" si="8"/>
        <v>4</v>
      </c>
      <c r="G49" s="13" t="s">
        <v>12</v>
      </c>
      <c r="H49" s="13">
        <v>4</v>
      </c>
      <c r="I49" s="13" t="s">
        <v>17</v>
      </c>
      <c r="J49" s="13">
        <f t="shared" si="12"/>
        <v>203390136</v>
      </c>
      <c r="K49" s="15">
        <f>D49*H49 / 10^6</f>
        <v>203.39013600000001</v>
      </c>
      <c r="L49" s="16" t="str">
        <f t="shared" si="14"/>
        <v>203.4 MB</v>
      </c>
      <c r="M49" s="24">
        <f t="shared" si="9"/>
        <v>32</v>
      </c>
      <c r="N49">
        <f t="shared" si="10"/>
        <v>2033901416</v>
      </c>
      <c r="O49" s="19">
        <f t="shared" si="16"/>
        <v>2033.9014159999999</v>
      </c>
      <c r="P49" s="6">
        <f t="shared" si="15"/>
        <v>88.254677681245454</v>
      </c>
    </row>
    <row r="50" spans="1:16" x14ac:dyDescent="0.25">
      <c r="B50" s="6">
        <f>C50/LN(C50)</f>
        <v>193635250.54193214</v>
      </c>
      <c r="C50" s="22">
        <v>4294967295</v>
      </c>
      <c r="D50" s="17" t="s">
        <v>15</v>
      </c>
      <c r="E50" s="13">
        <f t="shared" ref="E50:E57" si="17">_xlfn.CEILING.MATH(LOG(C50,2))</f>
        <v>32</v>
      </c>
      <c r="F50" s="13">
        <f t="shared" si="8"/>
        <v>4</v>
      </c>
      <c r="G50" s="13" t="s">
        <v>12</v>
      </c>
      <c r="H50" s="13">
        <v>4</v>
      </c>
      <c r="I50" s="13" t="s">
        <v>17</v>
      </c>
      <c r="J50" s="13">
        <f>B50*H50</f>
        <v>774541002.16772854</v>
      </c>
      <c r="K50" s="15">
        <f>B50*H50 / 10^6</f>
        <v>774.54100216772849</v>
      </c>
      <c r="L50" s="21" t="str">
        <f t="shared" si="14"/>
        <v>774.5 MB</v>
      </c>
      <c r="M50" s="24">
        <f t="shared" si="9"/>
        <v>36</v>
      </c>
      <c r="N50">
        <f>56 + (8+M50)*B50</f>
        <v>8519951079.8450136</v>
      </c>
      <c r="O50" s="19">
        <f t="shared" si="16"/>
        <v>8519.9510798450137</v>
      </c>
      <c r="P50" s="6">
        <f t="shared" si="15"/>
        <v>41.889696557580422</v>
      </c>
    </row>
    <row r="51" spans="1:16" x14ac:dyDescent="0.25">
      <c r="A51">
        <v>10</v>
      </c>
      <c r="B51" s="6">
        <f>C51/LN(C51)</f>
        <v>434294481.90325183</v>
      </c>
      <c r="C51" s="23">
        <f t="shared" si="11"/>
        <v>10000000000</v>
      </c>
      <c r="D51" s="14">
        <v>455052511</v>
      </c>
      <c r="E51" s="13">
        <f t="shared" si="17"/>
        <v>34</v>
      </c>
      <c r="F51" s="13">
        <f t="shared" si="8"/>
        <v>5</v>
      </c>
      <c r="G51" s="13" t="s">
        <v>13</v>
      </c>
      <c r="H51" s="13">
        <v>8</v>
      </c>
      <c r="I51" s="13" t="s">
        <v>18</v>
      </c>
      <c r="J51" s="13">
        <f t="shared" si="12"/>
        <v>3640420088</v>
      </c>
      <c r="K51" s="15">
        <f t="shared" ref="K51:K57" si="18">D51*H51 / 10^9</f>
        <v>3.6404200879999999</v>
      </c>
      <c r="L51" s="21" t="str">
        <f t="shared" si="14"/>
        <v>3.6 GB</v>
      </c>
      <c r="M51" s="24">
        <f t="shared" si="9"/>
        <v>36</v>
      </c>
      <c r="N51">
        <f>56 + (8+M51)*D51</f>
        <v>20022310540</v>
      </c>
      <c r="O51" s="19">
        <f>N51/10^9</f>
        <v>20.022310539999999</v>
      </c>
      <c r="P51" s="6">
        <f>N51/J50</f>
        <v>25.850549530577499</v>
      </c>
    </row>
    <row r="52" spans="1:16" x14ac:dyDescent="0.25">
      <c r="A52">
        <v>11</v>
      </c>
      <c r="C52" s="11">
        <f t="shared" si="11"/>
        <v>100000000000</v>
      </c>
      <c r="D52" s="14">
        <v>4118054813</v>
      </c>
      <c r="E52" s="13">
        <f t="shared" si="17"/>
        <v>37</v>
      </c>
      <c r="F52" s="13">
        <f t="shared" si="8"/>
        <v>5</v>
      </c>
      <c r="G52" s="13" t="s">
        <v>13</v>
      </c>
      <c r="H52" s="13">
        <v>8</v>
      </c>
      <c r="I52" s="13" t="s">
        <v>18</v>
      </c>
      <c r="J52" s="13">
        <f t="shared" si="12"/>
        <v>32944438504</v>
      </c>
      <c r="K52" s="15">
        <f t="shared" si="18"/>
        <v>32.944438503999997</v>
      </c>
      <c r="L52" s="16" t="str">
        <f t="shared" si="14"/>
        <v>32.9 GB</v>
      </c>
      <c r="M52" s="24">
        <f t="shared" si="9"/>
        <v>36</v>
      </c>
      <c r="N52">
        <f>56 + (8+M52)*D52</f>
        <v>181194411828</v>
      </c>
      <c r="O52" s="19">
        <f>N52/10^9</f>
        <v>181.194411828</v>
      </c>
      <c r="P52" s="6">
        <f t="shared" si="15"/>
        <v>49.772940333253104</v>
      </c>
    </row>
    <row r="53" spans="1:16" x14ac:dyDescent="0.25">
      <c r="A53">
        <v>12</v>
      </c>
      <c r="C53" s="11">
        <f t="shared" si="11"/>
        <v>1000000000000</v>
      </c>
      <c r="D53" s="14">
        <v>37607912018</v>
      </c>
      <c r="E53" s="13">
        <f t="shared" si="17"/>
        <v>40</v>
      </c>
      <c r="F53" s="13">
        <f t="shared" si="8"/>
        <v>5</v>
      </c>
      <c r="G53" s="13" t="s">
        <v>13</v>
      </c>
      <c r="H53" s="13">
        <v>8</v>
      </c>
      <c r="I53" s="13" t="s">
        <v>18</v>
      </c>
      <c r="J53" s="13">
        <f t="shared" si="12"/>
        <v>300863296144</v>
      </c>
      <c r="K53" s="15">
        <f t="shared" si="18"/>
        <v>300.863296144</v>
      </c>
      <c r="L53" s="16" t="str">
        <f t="shared" ref="L53" si="19">_xlfn.CONCAT(TEXT(K53, "0,0"), I53)</f>
        <v>301 GB</v>
      </c>
      <c r="M53" s="24">
        <f t="shared" ref="M53:M57" si="20">28+4*_xlfn.CEILING.MATH(E53/30)</f>
        <v>36</v>
      </c>
      <c r="N53">
        <f>56 + (8+M53)*D53</f>
        <v>1654748128848</v>
      </c>
      <c r="O53" s="19">
        <f>N53/10^9</f>
        <v>1654.7481288480001</v>
      </c>
      <c r="P53" s="6">
        <f t="shared" si="15"/>
        <v>50.228451416681033</v>
      </c>
    </row>
    <row r="54" spans="1:16" x14ac:dyDescent="0.25">
      <c r="A54">
        <v>13</v>
      </c>
      <c r="C54" s="11">
        <f t="shared" si="11"/>
        <v>10000000000000</v>
      </c>
      <c r="D54" s="14">
        <v>346065536839</v>
      </c>
      <c r="E54" s="13">
        <f t="shared" si="17"/>
        <v>44</v>
      </c>
      <c r="F54" s="13">
        <f t="shared" si="8"/>
        <v>6</v>
      </c>
      <c r="G54" s="13" t="s">
        <v>13</v>
      </c>
      <c r="H54" s="13">
        <v>8</v>
      </c>
      <c r="I54" s="13" t="s">
        <v>14</v>
      </c>
      <c r="J54" s="13"/>
      <c r="K54" s="15">
        <f t="shared" si="18"/>
        <v>2768.524294712</v>
      </c>
      <c r="L54" s="16" t="str">
        <f>_xlfn.CONCAT(TEXT(K54, "0,0"), I54)</f>
        <v>2,769GB</v>
      </c>
      <c r="M54" s="24">
        <f t="shared" si="20"/>
        <v>36</v>
      </c>
    </row>
    <row r="55" spans="1:16" x14ac:dyDescent="0.25">
      <c r="A55">
        <v>14</v>
      </c>
      <c r="C55" s="11">
        <f t="shared" si="11"/>
        <v>100000000000000</v>
      </c>
      <c r="D55" s="14">
        <v>3204941750802</v>
      </c>
      <c r="E55" s="13">
        <f t="shared" si="17"/>
        <v>47</v>
      </c>
      <c r="F55" s="13">
        <f t="shared" si="8"/>
        <v>6</v>
      </c>
      <c r="G55" s="13" t="s">
        <v>13</v>
      </c>
      <c r="H55" s="13">
        <v>8</v>
      </c>
      <c r="I55" s="13" t="s">
        <v>14</v>
      </c>
      <c r="J55" s="13"/>
      <c r="K55" s="15">
        <f t="shared" si="18"/>
        <v>25639.534006416001</v>
      </c>
      <c r="L55" s="16" t="str">
        <f>_xlfn.CONCAT(TEXT(K55, "0,0"), I55)</f>
        <v>25,640GB</v>
      </c>
      <c r="M55" s="24">
        <f t="shared" si="20"/>
        <v>36</v>
      </c>
    </row>
    <row r="56" spans="1:16" x14ac:dyDescent="0.25">
      <c r="A56">
        <v>15</v>
      </c>
      <c r="C56" s="11">
        <f t="shared" si="11"/>
        <v>1000000000000000</v>
      </c>
      <c r="D56" s="14">
        <v>29844570422669</v>
      </c>
      <c r="E56" s="13">
        <f t="shared" si="17"/>
        <v>50</v>
      </c>
      <c r="F56" s="13">
        <f t="shared" si="8"/>
        <v>7</v>
      </c>
      <c r="G56" s="13" t="s">
        <v>13</v>
      </c>
      <c r="H56" s="13">
        <v>8</v>
      </c>
      <c r="I56" s="13" t="s">
        <v>14</v>
      </c>
      <c r="J56" s="13"/>
      <c r="K56" s="15">
        <f t="shared" si="18"/>
        <v>238756.563381352</v>
      </c>
      <c r="L56" s="16" t="str">
        <f>_xlfn.CONCAT(TEXT(K56, "0,0"), I56)</f>
        <v>238,757GB</v>
      </c>
      <c r="M56" s="24">
        <f t="shared" si="20"/>
        <v>36</v>
      </c>
    </row>
    <row r="57" spans="1:16" x14ac:dyDescent="0.25">
      <c r="A57">
        <v>16</v>
      </c>
      <c r="C57" s="11">
        <f t="shared" si="11"/>
        <v>1E+16</v>
      </c>
      <c r="D57" s="14">
        <v>279238341033925</v>
      </c>
      <c r="E57" s="13">
        <f t="shared" si="17"/>
        <v>54</v>
      </c>
      <c r="F57" s="13">
        <f t="shared" si="8"/>
        <v>7</v>
      </c>
      <c r="G57" s="13" t="s">
        <v>13</v>
      </c>
      <c r="H57" s="13">
        <v>8</v>
      </c>
      <c r="I57" s="13" t="s">
        <v>14</v>
      </c>
      <c r="J57" s="13"/>
      <c r="K57" s="15">
        <f t="shared" si="18"/>
        <v>2233906.7282714001</v>
      </c>
      <c r="L57" s="16" t="str">
        <f>_xlfn.CONCAT(TEXT(K57, "0,0"), I57)</f>
        <v>2,233,907GB</v>
      </c>
      <c r="M57" s="24">
        <f t="shared" si="20"/>
        <v>36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tabSelected="1" topLeftCell="A37" workbookViewId="0">
      <selection activeCell="O60" sqref="O60"/>
    </sheetView>
  </sheetViews>
  <sheetFormatPr defaultRowHeight="15" x14ac:dyDescent="0.25"/>
  <cols>
    <col min="2" max="2" width="12.5703125" bestFit="1" customWidth="1"/>
    <col min="3" max="3" width="10.7109375" customWidth="1"/>
    <col min="4" max="4" width="35" customWidth="1"/>
    <col min="5" max="5" width="15.140625" style="3" customWidth="1"/>
    <col min="6" max="6" width="9.140625" style="3" customWidth="1"/>
    <col min="7" max="7" width="13.140625" style="3" customWidth="1"/>
    <col min="8" max="9" width="6.28515625" style="3" customWidth="1"/>
    <col min="10" max="10" width="10.42578125" style="3" customWidth="1"/>
    <col min="11" max="11" width="15.85546875" style="3" customWidth="1"/>
    <col min="12" max="12" width="16.28515625" style="3" customWidth="1"/>
    <col min="13" max="13" width="17.85546875" style="3" customWidth="1"/>
    <col min="14" max="14" width="13" customWidth="1"/>
    <col min="15" max="15" width="18.85546875" customWidth="1"/>
    <col min="16" max="16" width="10.5703125" bestFit="1" customWidth="1"/>
  </cols>
  <sheetData>
    <row r="1" spans="1:15" ht="45" x14ac:dyDescent="0.25">
      <c r="A1" s="4" t="s">
        <v>0</v>
      </c>
      <c r="B1" s="4"/>
      <c r="C1" s="26" t="s">
        <v>4</v>
      </c>
      <c r="D1" s="27" t="s">
        <v>5</v>
      </c>
      <c r="E1" s="28" t="s">
        <v>7</v>
      </c>
      <c r="F1" s="27" t="s">
        <v>6</v>
      </c>
      <c r="G1" s="28" t="s">
        <v>9</v>
      </c>
      <c r="H1" s="28"/>
      <c r="I1" s="28"/>
      <c r="J1" s="28"/>
      <c r="K1" s="29"/>
      <c r="L1" s="28" t="s">
        <v>21</v>
      </c>
      <c r="M1" s="30" t="s">
        <v>24</v>
      </c>
      <c r="N1" s="3" t="s">
        <v>8</v>
      </c>
      <c r="O1" s="2" t="s">
        <v>1</v>
      </c>
    </row>
    <row r="2" spans="1:15" x14ac:dyDescent="0.25">
      <c r="A2">
        <v>1</v>
      </c>
      <c r="C2" s="31">
        <f>10^A2</f>
        <v>10</v>
      </c>
      <c r="D2" s="12">
        <v>4</v>
      </c>
      <c r="E2" s="13">
        <f t="shared" ref="E2:E31" si="0">_xlfn.CEILING.MATH(LOG(C2,2))</f>
        <v>4</v>
      </c>
      <c r="F2" s="13">
        <f t="shared" ref="F2:F30" si="1">_xlfn.CEILING.MATH(E2/8)</f>
        <v>1</v>
      </c>
      <c r="G2" s="13" t="s">
        <v>10</v>
      </c>
      <c r="H2" s="13">
        <v>1</v>
      </c>
      <c r="I2" s="13"/>
      <c r="J2" s="13"/>
      <c r="K2" s="13"/>
      <c r="L2" s="13"/>
      <c r="M2" s="32"/>
      <c r="N2" t="s">
        <v>2</v>
      </c>
    </row>
    <row r="3" spans="1:15" x14ac:dyDescent="0.25">
      <c r="A3">
        <v>2</v>
      </c>
      <c r="C3" s="31">
        <f t="shared" ref="C3:C31" si="2">10^A3</f>
        <v>100</v>
      </c>
      <c r="D3" s="12">
        <v>25</v>
      </c>
      <c r="E3" s="13">
        <f t="shared" si="0"/>
        <v>7</v>
      </c>
      <c r="F3" s="13">
        <f t="shared" si="1"/>
        <v>1</v>
      </c>
      <c r="G3" s="13" t="s">
        <v>10</v>
      </c>
      <c r="H3" s="13">
        <v>1</v>
      </c>
      <c r="I3" s="13"/>
      <c r="J3" s="13"/>
      <c r="K3" s="13"/>
      <c r="L3" s="13"/>
      <c r="M3" s="32"/>
      <c r="N3" t="s">
        <v>2</v>
      </c>
    </row>
    <row r="4" spans="1:15" x14ac:dyDescent="0.25">
      <c r="A4">
        <v>3</v>
      </c>
      <c r="C4" s="31">
        <f t="shared" si="2"/>
        <v>1000</v>
      </c>
      <c r="D4" s="12">
        <v>168</v>
      </c>
      <c r="E4" s="13">
        <f t="shared" si="0"/>
        <v>10</v>
      </c>
      <c r="F4" s="13">
        <f t="shared" si="1"/>
        <v>2</v>
      </c>
      <c r="G4" s="13" t="s">
        <v>11</v>
      </c>
      <c r="H4" s="13">
        <v>2</v>
      </c>
      <c r="I4" s="13"/>
      <c r="J4" s="13"/>
      <c r="K4" s="13"/>
      <c r="L4" s="13"/>
      <c r="M4" s="32"/>
      <c r="N4" t="s">
        <v>2</v>
      </c>
      <c r="O4">
        <v>0</v>
      </c>
    </row>
    <row r="5" spans="1:15" x14ac:dyDescent="0.25">
      <c r="A5">
        <v>4</v>
      </c>
      <c r="C5" s="31">
        <f t="shared" si="2"/>
        <v>10000</v>
      </c>
      <c r="D5" s="14">
        <v>1229</v>
      </c>
      <c r="E5" s="13">
        <f t="shared" si="0"/>
        <v>14</v>
      </c>
      <c r="F5" s="13">
        <f t="shared" si="1"/>
        <v>2</v>
      </c>
      <c r="G5" s="13" t="s">
        <v>11</v>
      </c>
      <c r="H5" s="13">
        <v>2</v>
      </c>
      <c r="I5" s="13"/>
      <c r="J5" s="13"/>
      <c r="K5" s="13"/>
      <c r="L5" s="13"/>
      <c r="M5" s="32"/>
      <c r="N5" t="s">
        <v>2</v>
      </c>
      <c r="O5">
        <v>0</v>
      </c>
    </row>
    <row r="6" spans="1:15" x14ac:dyDescent="0.25">
      <c r="A6">
        <v>5</v>
      </c>
      <c r="C6" s="31">
        <f t="shared" si="2"/>
        <v>100000</v>
      </c>
      <c r="D6" s="14">
        <v>9592</v>
      </c>
      <c r="E6" s="13">
        <f t="shared" si="0"/>
        <v>17</v>
      </c>
      <c r="F6" s="13">
        <f t="shared" si="1"/>
        <v>3</v>
      </c>
      <c r="G6" s="13" t="s">
        <v>12</v>
      </c>
      <c r="H6" s="13">
        <v>4</v>
      </c>
      <c r="I6" s="13" t="s">
        <v>16</v>
      </c>
      <c r="J6" s="13"/>
      <c r="K6" s="15">
        <f>D6*H6 / 10^3</f>
        <v>38.368000000000002</v>
      </c>
      <c r="L6" s="16" t="str">
        <f>_xlfn.CONCAT(TEXT(K6, "#,00"), I6)</f>
        <v>38 kB</v>
      </c>
      <c r="M6" s="33"/>
      <c r="N6" t="s">
        <v>2</v>
      </c>
      <c r="O6">
        <v>0</v>
      </c>
    </row>
    <row r="7" spans="1:15" x14ac:dyDescent="0.25">
      <c r="A7">
        <v>6</v>
      </c>
      <c r="C7" s="31">
        <f t="shared" si="2"/>
        <v>1000000</v>
      </c>
      <c r="D7" s="14">
        <v>78498</v>
      </c>
      <c r="E7" s="13">
        <f t="shared" si="0"/>
        <v>20</v>
      </c>
      <c r="F7" s="13">
        <f t="shared" si="1"/>
        <v>3</v>
      </c>
      <c r="G7" s="13" t="s">
        <v>12</v>
      </c>
      <c r="H7" s="13">
        <v>4</v>
      </c>
      <c r="I7" s="13" t="s">
        <v>16</v>
      </c>
      <c r="J7" s="13"/>
      <c r="K7" s="15">
        <f>D7*H7 / 10^3</f>
        <v>313.99200000000002</v>
      </c>
      <c r="L7" s="16" t="str">
        <f t="shared" ref="L7" si="3">_xlfn.CONCAT(TEXT(K7, "#,0"), I7)</f>
        <v>314 kB</v>
      </c>
      <c r="M7" s="33"/>
      <c r="N7" t="s">
        <v>2</v>
      </c>
      <c r="O7">
        <v>0</v>
      </c>
    </row>
    <row r="8" spans="1:15" x14ac:dyDescent="0.25">
      <c r="A8">
        <v>7</v>
      </c>
      <c r="C8" s="31">
        <f t="shared" si="2"/>
        <v>10000000</v>
      </c>
      <c r="D8" s="14">
        <v>664579</v>
      </c>
      <c r="E8" s="13">
        <f t="shared" si="0"/>
        <v>24</v>
      </c>
      <c r="F8" s="13">
        <f t="shared" si="1"/>
        <v>3</v>
      </c>
      <c r="G8" s="13" t="s">
        <v>12</v>
      </c>
      <c r="H8" s="13">
        <v>4</v>
      </c>
      <c r="I8" s="13" t="s">
        <v>17</v>
      </c>
      <c r="J8" s="13"/>
      <c r="K8" s="15">
        <f>D8*H8 / 10^6</f>
        <v>2.6583160000000001</v>
      </c>
      <c r="L8" s="16" t="str">
        <f t="shared" ref="L8:L13" si="4">_xlfn.CONCAT(TEXT(K8, "0.0"), I8)</f>
        <v>2.7 MB</v>
      </c>
      <c r="M8" s="33"/>
      <c r="N8" t="s">
        <v>2</v>
      </c>
      <c r="O8">
        <v>0</v>
      </c>
    </row>
    <row r="9" spans="1:15" x14ac:dyDescent="0.25">
      <c r="A9">
        <v>8</v>
      </c>
      <c r="C9" s="31">
        <f t="shared" si="2"/>
        <v>100000000</v>
      </c>
      <c r="D9" s="14">
        <v>5761455</v>
      </c>
      <c r="E9" s="13">
        <f t="shared" si="0"/>
        <v>27</v>
      </c>
      <c r="F9" s="13">
        <f t="shared" si="1"/>
        <v>4</v>
      </c>
      <c r="G9" s="13" t="s">
        <v>12</v>
      </c>
      <c r="H9" s="13">
        <v>4</v>
      </c>
      <c r="I9" s="13" t="s">
        <v>17</v>
      </c>
      <c r="J9" s="13"/>
      <c r="K9" s="15">
        <f>D9*H9 / 10^6</f>
        <v>23.045819999999999</v>
      </c>
      <c r="L9" s="16" t="str">
        <f t="shared" si="4"/>
        <v>23.0 MB</v>
      </c>
      <c r="M9" s="33"/>
      <c r="N9" t="s">
        <v>2</v>
      </c>
      <c r="O9">
        <v>0.02</v>
      </c>
    </row>
    <row r="10" spans="1:15" x14ac:dyDescent="0.25">
      <c r="A10">
        <v>9</v>
      </c>
      <c r="B10" s="6">
        <f>C10/LN(C10)</f>
        <v>48254942.433694646</v>
      </c>
      <c r="C10" s="31">
        <f t="shared" si="2"/>
        <v>1000000000</v>
      </c>
      <c r="D10" s="14">
        <v>50847534</v>
      </c>
      <c r="E10" s="13">
        <f>_xlfn.CEILING.MATH(LOG(C10,2))</f>
        <v>30</v>
      </c>
      <c r="F10" s="13">
        <f t="shared" si="1"/>
        <v>4</v>
      </c>
      <c r="G10" s="13" t="s">
        <v>12</v>
      </c>
      <c r="H10" s="13">
        <v>4</v>
      </c>
      <c r="I10" s="13" t="s">
        <v>17</v>
      </c>
      <c r="J10" s="13"/>
      <c r="K10" s="15">
        <f>D10*H10 / 10^6</f>
        <v>203.39013600000001</v>
      </c>
      <c r="L10" s="16" t="str">
        <f t="shared" si="4"/>
        <v>203.4 MB</v>
      </c>
      <c r="M10" s="33"/>
      <c r="N10" t="s">
        <v>2</v>
      </c>
      <c r="O10">
        <v>0.2</v>
      </c>
    </row>
    <row r="11" spans="1:15" x14ac:dyDescent="0.25">
      <c r="B11" s="6">
        <f>C11/LN(C11)</f>
        <v>193635250.54193214</v>
      </c>
      <c r="C11" s="34">
        <v>4294967295</v>
      </c>
      <c r="D11" s="17" t="s">
        <v>15</v>
      </c>
      <c r="E11" s="13">
        <f t="shared" si="0"/>
        <v>32</v>
      </c>
      <c r="F11" s="13">
        <f t="shared" si="1"/>
        <v>4</v>
      </c>
      <c r="G11" s="13" t="s">
        <v>12</v>
      </c>
      <c r="H11" s="13">
        <v>4</v>
      </c>
      <c r="I11" s="13" t="s">
        <v>17</v>
      </c>
      <c r="J11" s="13"/>
      <c r="K11" s="15">
        <f>B11*H11 / 10^6</f>
        <v>774.54100216772849</v>
      </c>
      <c r="L11" s="21" t="str">
        <f t="shared" si="4"/>
        <v>774.5 MB</v>
      </c>
      <c r="M11" s="33" t="s">
        <v>22</v>
      </c>
    </row>
    <row r="12" spans="1:15" x14ac:dyDescent="0.25">
      <c r="A12">
        <v>10</v>
      </c>
      <c r="B12" s="6">
        <f>C12/LN(C12)</f>
        <v>434294481.90325183</v>
      </c>
      <c r="C12" s="35">
        <f t="shared" si="2"/>
        <v>10000000000</v>
      </c>
      <c r="D12" s="14">
        <v>455052511</v>
      </c>
      <c r="E12" s="13">
        <f t="shared" si="0"/>
        <v>34</v>
      </c>
      <c r="F12" s="13">
        <f t="shared" si="1"/>
        <v>5</v>
      </c>
      <c r="G12" s="13" t="s">
        <v>13</v>
      </c>
      <c r="H12" s="13">
        <v>8</v>
      </c>
      <c r="I12" s="13" t="s">
        <v>18</v>
      </c>
      <c r="J12" s="13"/>
      <c r="K12" s="15">
        <f t="shared" ref="K12:K20" si="5">D12*H12 / 10^9</f>
        <v>3.6404200879999999</v>
      </c>
      <c r="L12" s="21" t="str">
        <f t="shared" si="4"/>
        <v>3.6 GB</v>
      </c>
      <c r="M12" s="33"/>
      <c r="N12" t="s">
        <v>3</v>
      </c>
      <c r="O12">
        <v>1.82</v>
      </c>
    </row>
    <row r="13" spans="1:15" x14ac:dyDescent="0.25">
      <c r="A13">
        <v>11</v>
      </c>
      <c r="C13" s="31">
        <f t="shared" si="2"/>
        <v>100000000000</v>
      </c>
      <c r="D13" s="14">
        <v>4118054813</v>
      </c>
      <c r="E13" s="13">
        <f t="shared" si="0"/>
        <v>37</v>
      </c>
      <c r="F13" s="13">
        <f t="shared" si="1"/>
        <v>5</v>
      </c>
      <c r="G13" s="13" t="s">
        <v>13</v>
      </c>
      <c r="H13" s="13">
        <v>8</v>
      </c>
      <c r="I13" s="13" t="s">
        <v>18</v>
      </c>
      <c r="J13" s="13"/>
      <c r="K13" s="15">
        <f t="shared" si="5"/>
        <v>32.944438503999997</v>
      </c>
      <c r="L13" s="16" t="str">
        <f t="shared" si="4"/>
        <v>32.9 GB</v>
      </c>
      <c r="M13" s="33"/>
      <c r="N13" t="s">
        <v>3</v>
      </c>
      <c r="O13">
        <v>16.47</v>
      </c>
    </row>
    <row r="14" spans="1:15" x14ac:dyDescent="0.25">
      <c r="A14">
        <v>12</v>
      </c>
      <c r="C14" s="31">
        <f t="shared" si="2"/>
        <v>1000000000000</v>
      </c>
      <c r="D14" s="14">
        <v>37607912018</v>
      </c>
      <c r="E14" s="13">
        <f t="shared" si="0"/>
        <v>40</v>
      </c>
      <c r="F14" s="13">
        <f t="shared" si="1"/>
        <v>5</v>
      </c>
      <c r="G14" s="13" t="s">
        <v>13</v>
      </c>
      <c r="H14" s="13">
        <v>8</v>
      </c>
      <c r="I14" s="13" t="s">
        <v>18</v>
      </c>
      <c r="J14" s="13"/>
      <c r="K14" s="15">
        <f t="shared" si="5"/>
        <v>300.863296144</v>
      </c>
      <c r="L14" s="16" t="str">
        <f t="shared" ref="L14:L30" si="6">_xlfn.CONCAT(TEXT(K14, "0,0"), I14)</f>
        <v>301 GB</v>
      </c>
      <c r="M14" s="33"/>
      <c r="N14" t="s">
        <v>3</v>
      </c>
      <c r="O14">
        <v>150.43</v>
      </c>
    </row>
    <row r="15" spans="1:15" x14ac:dyDescent="0.25">
      <c r="A15">
        <v>13</v>
      </c>
      <c r="C15" s="31">
        <f t="shared" si="2"/>
        <v>10000000000000</v>
      </c>
      <c r="D15" s="14">
        <v>346065536839</v>
      </c>
      <c r="E15" s="13">
        <f t="shared" si="0"/>
        <v>44</v>
      </c>
      <c r="F15" s="13">
        <f t="shared" si="1"/>
        <v>6</v>
      </c>
      <c r="G15" s="13" t="s">
        <v>13</v>
      </c>
      <c r="H15" s="13">
        <v>8</v>
      </c>
      <c r="I15" s="13" t="s">
        <v>14</v>
      </c>
      <c r="J15" s="13"/>
      <c r="K15" s="15">
        <f t="shared" si="5"/>
        <v>2768.524294712</v>
      </c>
      <c r="L15" s="16" t="str">
        <f t="shared" si="6"/>
        <v>2,769GB</v>
      </c>
      <c r="M15" s="33"/>
      <c r="N15" t="s">
        <v>3</v>
      </c>
    </row>
    <row r="16" spans="1:15" x14ac:dyDescent="0.25">
      <c r="A16">
        <v>14</v>
      </c>
      <c r="C16" s="31">
        <f t="shared" si="2"/>
        <v>100000000000000</v>
      </c>
      <c r="D16" s="14">
        <v>3204941750802</v>
      </c>
      <c r="E16" s="13">
        <f t="shared" si="0"/>
        <v>47</v>
      </c>
      <c r="F16" s="13">
        <f t="shared" si="1"/>
        <v>6</v>
      </c>
      <c r="G16" s="13" t="s">
        <v>13</v>
      </c>
      <c r="H16" s="13">
        <v>8</v>
      </c>
      <c r="I16" s="13" t="s">
        <v>14</v>
      </c>
      <c r="J16" s="13"/>
      <c r="K16" s="15">
        <f t="shared" si="5"/>
        <v>25639.534006416001</v>
      </c>
      <c r="L16" s="16" t="str">
        <f t="shared" si="6"/>
        <v>25,640GB</v>
      </c>
      <c r="M16" s="33"/>
      <c r="N16" t="s">
        <v>3</v>
      </c>
    </row>
    <row r="17" spans="1:14" x14ac:dyDescent="0.25">
      <c r="A17">
        <v>15</v>
      </c>
      <c r="C17" s="31">
        <f t="shared" si="2"/>
        <v>1000000000000000</v>
      </c>
      <c r="D17" s="14">
        <v>29844570422669</v>
      </c>
      <c r="E17" s="13">
        <f t="shared" si="0"/>
        <v>50</v>
      </c>
      <c r="F17" s="13">
        <f t="shared" si="1"/>
        <v>7</v>
      </c>
      <c r="G17" s="13" t="s">
        <v>13</v>
      </c>
      <c r="H17" s="13">
        <v>8</v>
      </c>
      <c r="I17" s="13" t="s">
        <v>14</v>
      </c>
      <c r="J17" s="13"/>
      <c r="K17" s="15">
        <f t="shared" si="5"/>
        <v>238756.563381352</v>
      </c>
      <c r="L17" s="16" t="str">
        <f t="shared" si="6"/>
        <v>238,757GB</v>
      </c>
      <c r="M17" s="33"/>
      <c r="N17" t="s">
        <v>3</v>
      </c>
    </row>
    <row r="18" spans="1:14" x14ac:dyDescent="0.25">
      <c r="A18">
        <v>16</v>
      </c>
      <c r="C18" s="31">
        <f t="shared" si="2"/>
        <v>1E+16</v>
      </c>
      <c r="D18" s="14">
        <v>279238341033925</v>
      </c>
      <c r="E18" s="13">
        <f t="shared" si="0"/>
        <v>54</v>
      </c>
      <c r="F18" s="13">
        <f t="shared" si="1"/>
        <v>7</v>
      </c>
      <c r="G18" s="13" t="s">
        <v>13</v>
      </c>
      <c r="H18" s="13">
        <v>8</v>
      </c>
      <c r="I18" s="13" t="s">
        <v>14</v>
      </c>
      <c r="J18" s="13"/>
      <c r="K18" s="15">
        <f t="shared" si="5"/>
        <v>2233906.7282714001</v>
      </c>
      <c r="L18" s="16" t="str">
        <f t="shared" si="6"/>
        <v>2,233,907GB</v>
      </c>
      <c r="M18" s="33"/>
      <c r="N18" t="s">
        <v>3</v>
      </c>
    </row>
    <row r="19" spans="1:14" x14ac:dyDescent="0.25">
      <c r="A19">
        <v>17</v>
      </c>
      <c r="C19" s="31">
        <f t="shared" si="2"/>
        <v>1E+17</v>
      </c>
      <c r="D19" s="14">
        <v>2623557157654230</v>
      </c>
      <c r="E19" s="13">
        <f t="shared" si="0"/>
        <v>57</v>
      </c>
      <c r="F19" s="13">
        <f t="shared" si="1"/>
        <v>8</v>
      </c>
      <c r="G19" s="13" t="s">
        <v>13</v>
      </c>
      <c r="H19" s="13">
        <v>8</v>
      </c>
      <c r="I19" s="13" t="s">
        <v>14</v>
      </c>
      <c r="J19" s="13"/>
      <c r="K19" s="15">
        <f t="shared" si="5"/>
        <v>20988457.26123384</v>
      </c>
      <c r="L19" s="16" t="str">
        <f t="shared" si="6"/>
        <v>20,988,457GB</v>
      </c>
      <c r="M19" s="33"/>
      <c r="N19" t="s">
        <v>3</v>
      </c>
    </row>
    <row r="20" spans="1:14" x14ac:dyDescent="0.25">
      <c r="A20">
        <v>18</v>
      </c>
      <c r="C20" s="31">
        <f t="shared" si="2"/>
        <v>1E+18</v>
      </c>
      <c r="D20" s="14">
        <v>2.47399542877408E+16</v>
      </c>
      <c r="E20" s="13">
        <f t="shared" si="0"/>
        <v>60</v>
      </c>
      <c r="F20" s="13">
        <f t="shared" si="1"/>
        <v>8</v>
      </c>
      <c r="G20" s="13" t="s">
        <v>13</v>
      </c>
      <c r="H20" s="13">
        <v>8</v>
      </c>
      <c r="I20" s="13" t="s">
        <v>14</v>
      </c>
      <c r="J20" s="13"/>
      <c r="K20" s="15">
        <f t="shared" si="5"/>
        <v>197919634.3019264</v>
      </c>
      <c r="L20" s="16" t="str">
        <f t="shared" si="6"/>
        <v>197,919,634GB</v>
      </c>
      <c r="M20" s="33"/>
      <c r="N20" t="s">
        <v>3</v>
      </c>
    </row>
    <row r="21" spans="1:14" x14ac:dyDescent="0.25">
      <c r="A21" s="7">
        <v>19</v>
      </c>
      <c r="B21" s="7"/>
      <c r="C21" s="36">
        <f t="shared" si="2"/>
        <v>1E+19</v>
      </c>
      <c r="D21" s="18">
        <v>2.34057667276344E+17</v>
      </c>
      <c r="E21" s="13">
        <f t="shared" si="0"/>
        <v>64</v>
      </c>
      <c r="F21" s="13">
        <f t="shared" si="1"/>
        <v>8</v>
      </c>
      <c r="G21" s="13" t="s">
        <v>13</v>
      </c>
      <c r="H21" s="13">
        <v>8</v>
      </c>
      <c r="I21" s="13" t="s">
        <v>19</v>
      </c>
      <c r="J21" s="13"/>
      <c r="K21" s="19">
        <f>D21*H21 / 10^15</f>
        <v>1872.461338210752</v>
      </c>
      <c r="L21" s="16" t="str">
        <f t="shared" si="6"/>
        <v>1,872 PB</v>
      </c>
      <c r="M21" s="33"/>
      <c r="N21" s="4" t="s">
        <v>3</v>
      </c>
    </row>
    <row r="22" spans="1:14" x14ac:dyDescent="0.25">
      <c r="A22">
        <v>20</v>
      </c>
      <c r="C22" s="31">
        <f t="shared" si="2"/>
        <v>1E+20</v>
      </c>
      <c r="D22" s="14">
        <v>2.2208196025609101E+18</v>
      </c>
      <c r="E22" s="13">
        <f t="shared" si="0"/>
        <v>67</v>
      </c>
      <c r="F22" s="13">
        <f t="shared" si="1"/>
        <v>9</v>
      </c>
      <c r="G22" s="13"/>
      <c r="H22" s="13"/>
      <c r="I22" s="13" t="s">
        <v>19</v>
      </c>
      <c r="J22" s="13"/>
      <c r="K22" s="13"/>
      <c r="L22" s="16" t="str">
        <f t="shared" si="6"/>
        <v>00 PB</v>
      </c>
      <c r="M22" s="33"/>
    </row>
    <row r="23" spans="1:14" x14ac:dyDescent="0.25">
      <c r="A23">
        <v>21</v>
      </c>
      <c r="C23" s="31">
        <f t="shared" si="2"/>
        <v>1E+21</v>
      </c>
      <c r="D23" s="14">
        <v>2.1127269486018699E+19</v>
      </c>
      <c r="E23" s="13">
        <f t="shared" si="0"/>
        <v>70</v>
      </c>
      <c r="F23" s="13">
        <f t="shared" si="1"/>
        <v>9</v>
      </c>
      <c r="G23" s="13"/>
      <c r="H23" s="13"/>
      <c r="I23" s="13" t="s">
        <v>19</v>
      </c>
      <c r="J23" s="13"/>
      <c r="K23" s="13"/>
      <c r="L23" s="16" t="str">
        <f t="shared" si="6"/>
        <v>00 PB</v>
      </c>
      <c r="M23" s="33"/>
    </row>
    <row r="24" spans="1:14" x14ac:dyDescent="0.25">
      <c r="A24">
        <v>22</v>
      </c>
      <c r="C24" s="31">
        <f t="shared" si="2"/>
        <v>1E+22</v>
      </c>
      <c r="D24" s="14">
        <v>2.01467286689315E+20</v>
      </c>
      <c r="E24" s="13">
        <f t="shared" si="0"/>
        <v>74</v>
      </c>
      <c r="F24" s="13">
        <f t="shared" si="1"/>
        <v>10</v>
      </c>
      <c r="G24" s="13"/>
      <c r="H24" s="13"/>
      <c r="I24" s="13" t="s">
        <v>19</v>
      </c>
      <c r="J24" s="13"/>
      <c r="K24" s="13"/>
      <c r="L24" s="16" t="str">
        <f t="shared" si="6"/>
        <v>00 PB</v>
      </c>
      <c r="M24" s="33"/>
    </row>
    <row r="25" spans="1:14" x14ac:dyDescent="0.25">
      <c r="A25">
        <v>23</v>
      </c>
      <c r="C25" s="31">
        <f t="shared" si="2"/>
        <v>9.9999999999999992E+22</v>
      </c>
      <c r="D25" s="14">
        <v>1.9253203916068E+21</v>
      </c>
      <c r="E25" s="13">
        <f t="shared" si="0"/>
        <v>77</v>
      </c>
      <c r="F25" s="13">
        <f t="shared" si="1"/>
        <v>10</v>
      </c>
      <c r="G25" s="13"/>
      <c r="H25" s="13"/>
      <c r="I25" s="13" t="s">
        <v>19</v>
      </c>
      <c r="J25" s="13"/>
      <c r="K25" s="13"/>
      <c r="L25" s="16" t="str">
        <f t="shared" si="6"/>
        <v>00 PB</v>
      </c>
      <c r="M25" s="33"/>
    </row>
    <row r="26" spans="1:14" x14ac:dyDescent="0.25">
      <c r="A26">
        <v>24</v>
      </c>
      <c r="C26" s="31">
        <f t="shared" si="2"/>
        <v>9.9999999999999998E+23</v>
      </c>
      <c r="D26" s="14">
        <v>1.84355997673492E+22</v>
      </c>
      <c r="E26" s="13">
        <f t="shared" si="0"/>
        <v>80</v>
      </c>
      <c r="F26" s="13">
        <f t="shared" si="1"/>
        <v>10</v>
      </c>
      <c r="G26" s="13"/>
      <c r="H26" s="13"/>
      <c r="I26" s="13" t="s">
        <v>19</v>
      </c>
      <c r="J26" s="13"/>
      <c r="K26" s="13"/>
      <c r="L26" s="16" t="str">
        <f t="shared" si="6"/>
        <v>00 PB</v>
      </c>
      <c r="M26" s="33"/>
    </row>
    <row r="27" spans="1:14" x14ac:dyDescent="0.25">
      <c r="A27">
        <v>25</v>
      </c>
      <c r="C27" s="31">
        <f t="shared" si="2"/>
        <v>1.0000000000000001E+25</v>
      </c>
      <c r="D27" s="14">
        <v>1.7684630939914299E+23</v>
      </c>
      <c r="E27" s="13">
        <f t="shared" si="0"/>
        <v>84</v>
      </c>
      <c r="F27" s="13">
        <f t="shared" si="1"/>
        <v>11</v>
      </c>
      <c r="G27" s="13"/>
      <c r="H27" s="13"/>
      <c r="I27" s="13" t="s">
        <v>19</v>
      </c>
      <c r="J27" s="13"/>
      <c r="K27" s="13"/>
      <c r="L27" s="16" t="str">
        <f t="shared" si="6"/>
        <v>00 PB</v>
      </c>
      <c r="M27" s="33"/>
    </row>
    <row r="28" spans="1:14" x14ac:dyDescent="0.25">
      <c r="A28">
        <v>26</v>
      </c>
      <c r="C28" s="31">
        <f t="shared" si="2"/>
        <v>1E+26</v>
      </c>
      <c r="D28" s="14">
        <v>1.6992467508724299E+24</v>
      </c>
      <c r="E28" s="13">
        <f t="shared" si="0"/>
        <v>87</v>
      </c>
      <c r="F28" s="13">
        <f t="shared" si="1"/>
        <v>11</v>
      </c>
      <c r="G28" s="13"/>
      <c r="H28" s="13"/>
      <c r="I28" s="13" t="s">
        <v>19</v>
      </c>
      <c r="J28" s="13"/>
      <c r="K28" s="13"/>
      <c r="L28" s="16" t="str">
        <f t="shared" si="6"/>
        <v>00 PB</v>
      </c>
      <c r="M28" s="33"/>
    </row>
    <row r="29" spans="1:14" x14ac:dyDescent="0.25">
      <c r="A29">
        <v>27</v>
      </c>
      <c r="C29" s="31">
        <f t="shared" si="2"/>
        <v>1E+27</v>
      </c>
      <c r="D29" s="14">
        <v>1.63524604268416E+25</v>
      </c>
      <c r="E29" s="13">
        <f t="shared" si="0"/>
        <v>90</v>
      </c>
      <c r="F29" s="13">
        <f t="shared" si="1"/>
        <v>12</v>
      </c>
      <c r="G29" s="13"/>
      <c r="H29" s="13"/>
      <c r="I29" s="13" t="s">
        <v>19</v>
      </c>
      <c r="J29" s="13"/>
      <c r="K29" s="13"/>
      <c r="L29" s="16" t="str">
        <f t="shared" si="6"/>
        <v>00 PB</v>
      </c>
      <c r="M29" s="33"/>
    </row>
    <row r="30" spans="1:14" x14ac:dyDescent="0.25">
      <c r="A30">
        <v>28</v>
      </c>
      <c r="C30" s="31">
        <f t="shared" si="2"/>
        <v>9.9999999999999996E+27</v>
      </c>
      <c r="D30" s="14">
        <v>1.57589269275973E+26</v>
      </c>
      <c r="E30" s="13">
        <f t="shared" si="0"/>
        <v>94</v>
      </c>
      <c r="F30" s="13">
        <f t="shared" si="1"/>
        <v>12</v>
      </c>
      <c r="G30" s="13"/>
      <c r="H30" s="13"/>
      <c r="I30" s="13" t="s">
        <v>19</v>
      </c>
      <c r="J30" s="13"/>
      <c r="K30" s="13"/>
      <c r="L30" s="16" t="str">
        <f t="shared" si="6"/>
        <v>00 PB</v>
      </c>
      <c r="M30" s="33"/>
    </row>
    <row r="31" spans="1:14" ht="60.75" thickBot="1" x14ac:dyDescent="0.3">
      <c r="A31">
        <v>29</v>
      </c>
      <c r="C31" s="37">
        <f t="shared" si="2"/>
        <v>9.9999999999999991E+28</v>
      </c>
      <c r="D31" s="38">
        <v>1.5206981097142701E+27</v>
      </c>
      <c r="E31" s="39">
        <f t="shared" si="0"/>
        <v>97</v>
      </c>
      <c r="F31" s="39">
        <f>_xlfn.CEILING.MATH(E31/8)</f>
        <v>13</v>
      </c>
      <c r="G31" s="39" t="s">
        <v>20</v>
      </c>
      <c r="H31" s="39">
        <f>_xlfn.CEILING.MATH(E31/8)</f>
        <v>13</v>
      </c>
      <c r="I31" s="39" t="s">
        <v>19</v>
      </c>
      <c r="J31" s="39"/>
      <c r="K31" s="40">
        <f>D31*H31 / 10^15</f>
        <v>19769075426285.512</v>
      </c>
      <c r="L31" s="41" t="s">
        <v>28</v>
      </c>
      <c r="M31" s="42" t="s">
        <v>23</v>
      </c>
      <c r="N31" t="s">
        <v>20</v>
      </c>
    </row>
    <row r="33" spans="1:21" x14ac:dyDescent="0.25">
      <c r="L33" s="3" t="str">
        <f>_xlfn.CONCAT(TEXT(K31, "0,0"), I31)</f>
        <v>19,769,075,426,286 PB</v>
      </c>
    </row>
    <row r="40" spans="1:21" ht="30" x14ac:dyDescent="0.25">
      <c r="A40" s="4" t="s">
        <v>0</v>
      </c>
      <c r="B40" s="4"/>
      <c r="C40" s="8" t="s">
        <v>4</v>
      </c>
      <c r="D40" s="8" t="s">
        <v>5</v>
      </c>
      <c r="E40" s="9" t="s">
        <v>7</v>
      </c>
      <c r="F40" s="8" t="s">
        <v>6</v>
      </c>
      <c r="G40" s="9" t="s">
        <v>9</v>
      </c>
      <c r="H40" s="9"/>
      <c r="I40" s="9"/>
      <c r="J40" s="9" t="s">
        <v>29</v>
      </c>
      <c r="K40" s="10"/>
      <c r="L40" s="9" t="s">
        <v>21</v>
      </c>
      <c r="M40" s="45" t="s">
        <v>33</v>
      </c>
      <c r="N40" s="45" t="s">
        <v>34</v>
      </c>
      <c r="O40" s="3" t="s">
        <v>25</v>
      </c>
      <c r="P40" t="s">
        <v>26</v>
      </c>
      <c r="S40" t="s">
        <v>27</v>
      </c>
    </row>
    <row r="41" spans="1:21" x14ac:dyDescent="0.25">
      <c r="A41">
        <v>1</v>
      </c>
      <c r="C41" s="11">
        <f>10^A41</f>
        <v>10</v>
      </c>
      <c r="D41" s="12">
        <v>4</v>
      </c>
      <c r="E41" s="13">
        <f t="shared" ref="E41:E48" si="7">_xlfn.CEILING.MATH(LOG(C41,2))</f>
        <v>4</v>
      </c>
      <c r="F41" s="13">
        <f t="shared" ref="F41:F57" si="8">_xlfn.CEILING.MATH(E41/8)</f>
        <v>1</v>
      </c>
      <c r="G41" s="13" t="s">
        <v>10</v>
      </c>
      <c r="H41" s="13">
        <v>1</v>
      </c>
      <c r="I41" s="13"/>
      <c r="J41" s="20">
        <f t="shared" ref="J41:J44" si="9">D41*H41</f>
        <v>4</v>
      </c>
      <c r="K41" s="13"/>
      <c r="L41" s="13"/>
      <c r="M41" s="46"/>
      <c r="N41" s="46"/>
      <c r="O41" s="24">
        <f t="shared" ref="O41:O57" si="10">28+4*_xlfn.CEILING.MATH(E41/30)</f>
        <v>32</v>
      </c>
      <c r="P41">
        <f t="shared" ref="P41:P49" si="11">56 + (8+O41)*D41</f>
        <v>216</v>
      </c>
      <c r="S41" s="1">
        <f>C41</f>
        <v>10</v>
      </c>
      <c r="T41" s="43">
        <f t="shared" ref="T41:T57" si="12">J41/S41</f>
        <v>0.4</v>
      </c>
      <c r="U41" s="5">
        <f t="shared" ref="U41:U57" si="13">S41/J41</f>
        <v>2.5</v>
      </c>
    </row>
    <row r="42" spans="1:21" x14ac:dyDescent="0.25">
      <c r="A42">
        <v>2</v>
      </c>
      <c r="C42" s="11">
        <f t="shared" ref="C42:C57" si="14">10^A42</f>
        <v>100</v>
      </c>
      <c r="D42" s="12">
        <v>25</v>
      </c>
      <c r="E42" s="13">
        <f t="shared" si="7"/>
        <v>7</v>
      </c>
      <c r="F42" s="13">
        <f t="shared" si="8"/>
        <v>1</v>
      </c>
      <c r="G42" s="13" t="s">
        <v>10</v>
      </c>
      <c r="H42" s="13">
        <v>1</v>
      </c>
      <c r="I42" s="13"/>
      <c r="J42" s="20">
        <f t="shared" si="9"/>
        <v>25</v>
      </c>
      <c r="K42" s="13"/>
      <c r="L42" s="13"/>
      <c r="M42" s="46"/>
      <c r="N42" s="46"/>
      <c r="O42" s="24">
        <f t="shared" si="10"/>
        <v>32</v>
      </c>
      <c r="P42">
        <f t="shared" si="11"/>
        <v>1056</v>
      </c>
      <c r="S42" s="1">
        <f t="shared" ref="S42:S57" si="15">C42</f>
        <v>100</v>
      </c>
      <c r="T42" s="43">
        <f t="shared" si="12"/>
        <v>0.25</v>
      </c>
      <c r="U42" s="5">
        <f t="shared" si="13"/>
        <v>4</v>
      </c>
    </row>
    <row r="43" spans="1:21" x14ac:dyDescent="0.25">
      <c r="A43">
        <v>3</v>
      </c>
      <c r="C43" s="11">
        <f t="shared" si="14"/>
        <v>1000</v>
      </c>
      <c r="D43" s="12">
        <v>168</v>
      </c>
      <c r="E43" s="13">
        <f t="shared" si="7"/>
        <v>10</v>
      </c>
      <c r="F43" s="13">
        <f t="shared" si="8"/>
        <v>2</v>
      </c>
      <c r="G43" s="13" t="s">
        <v>11</v>
      </c>
      <c r="H43" s="13">
        <v>2</v>
      </c>
      <c r="I43" s="13"/>
      <c r="J43" s="20">
        <f t="shared" si="9"/>
        <v>336</v>
      </c>
      <c r="K43" s="13"/>
      <c r="L43" s="13"/>
      <c r="M43" s="46"/>
      <c r="N43" s="46"/>
      <c r="O43" s="24">
        <f t="shared" si="10"/>
        <v>32</v>
      </c>
      <c r="P43">
        <f t="shared" si="11"/>
        <v>6776</v>
      </c>
      <c r="S43" s="1">
        <f t="shared" si="15"/>
        <v>1000</v>
      </c>
      <c r="T43" s="43">
        <f t="shared" si="12"/>
        <v>0.33600000000000002</v>
      </c>
      <c r="U43" s="5">
        <f t="shared" si="13"/>
        <v>2.9761904761904763</v>
      </c>
    </row>
    <row r="44" spans="1:21" x14ac:dyDescent="0.25">
      <c r="A44">
        <v>4</v>
      </c>
      <c r="C44" s="11">
        <f t="shared" si="14"/>
        <v>10000</v>
      </c>
      <c r="D44" s="14">
        <v>1229</v>
      </c>
      <c r="E44" s="13">
        <f t="shared" si="7"/>
        <v>14</v>
      </c>
      <c r="F44" s="13">
        <f t="shared" si="8"/>
        <v>2</v>
      </c>
      <c r="G44" s="13" t="s">
        <v>11</v>
      </c>
      <c r="H44" s="13">
        <v>2</v>
      </c>
      <c r="I44" s="13"/>
      <c r="J44" s="20">
        <f t="shared" si="9"/>
        <v>2458</v>
      </c>
      <c r="K44" s="13"/>
      <c r="L44" s="13"/>
      <c r="M44" s="46"/>
      <c r="N44" s="46"/>
      <c r="O44" s="24">
        <f t="shared" si="10"/>
        <v>32</v>
      </c>
      <c r="P44">
        <f t="shared" si="11"/>
        <v>49216</v>
      </c>
      <c r="S44" s="1">
        <f t="shared" si="15"/>
        <v>10000</v>
      </c>
      <c r="T44" s="43">
        <f t="shared" si="12"/>
        <v>0.24579999999999999</v>
      </c>
      <c r="U44" s="5">
        <f t="shared" si="13"/>
        <v>4.068348250610252</v>
      </c>
    </row>
    <row r="45" spans="1:21" x14ac:dyDescent="0.25">
      <c r="A45">
        <v>5</v>
      </c>
      <c r="C45" s="11">
        <f t="shared" si="14"/>
        <v>100000</v>
      </c>
      <c r="D45" s="14">
        <v>9592</v>
      </c>
      <c r="E45" s="13">
        <f t="shared" si="7"/>
        <v>17</v>
      </c>
      <c r="F45" s="13">
        <f t="shared" si="8"/>
        <v>3</v>
      </c>
      <c r="G45" s="13" t="s">
        <v>12</v>
      </c>
      <c r="H45" s="13">
        <v>4</v>
      </c>
      <c r="I45" s="25" t="s">
        <v>16</v>
      </c>
      <c r="J45" s="20">
        <f>D45*H45</f>
        <v>38368</v>
      </c>
      <c r="K45" s="15">
        <f>D45*H45 / 10^3</f>
        <v>38.368000000000002</v>
      </c>
      <c r="L45" s="16" t="str">
        <f>_xlfn.CONCAT(TEXT(K45, "#,00"), I45)</f>
        <v>38 kB</v>
      </c>
      <c r="M45" s="47"/>
      <c r="N45" s="47"/>
      <c r="O45" s="24">
        <f t="shared" si="10"/>
        <v>32</v>
      </c>
      <c r="P45">
        <f t="shared" si="11"/>
        <v>383736</v>
      </c>
      <c r="Q45" s="19">
        <f>P45/10^3</f>
        <v>383.73599999999999</v>
      </c>
      <c r="S45" s="1">
        <f t="shared" si="15"/>
        <v>100000</v>
      </c>
      <c r="T45" s="43">
        <f t="shared" si="12"/>
        <v>0.38368000000000002</v>
      </c>
      <c r="U45" s="5">
        <f t="shared" si="13"/>
        <v>2.6063386155129273</v>
      </c>
    </row>
    <row r="46" spans="1:21" x14ac:dyDescent="0.25">
      <c r="A46">
        <v>6</v>
      </c>
      <c r="C46" s="11">
        <f t="shared" si="14"/>
        <v>1000000</v>
      </c>
      <c r="D46" s="14">
        <v>78498</v>
      </c>
      <c r="E46" s="13">
        <f t="shared" si="7"/>
        <v>20</v>
      </c>
      <c r="F46" s="13">
        <f t="shared" si="8"/>
        <v>3</v>
      </c>
      <c r="G46" s="13" t="s">
        <v>12</v>
      </c>
      <c r="H46" s="13">
        <v>4</v>
      </c>
      <c r="I46" s="25" t="s">
        <v>16</v>
      </c>
      <c r="J46" s="20">
        <f t="shared" ref="J46:J57" si="16">D46*H46</f>
        <v>313992</v>
      </c>
      <c r="K46" s="15">
        <f>D46*H46 / 10^3</f>
        <v>313.99200000000002</v>
      </c>
      <c r="L46" s="16" t="str">
        <f t="shared" ref="L46" si="17">_xlfn.CONCAT(TEXT(K46, "#,0"), I46)</f>
        <v>314 kB</v>
      </c>
      <c r="M46" s="47"/>
      <c r="N46" s="47"/>
      <c r="O46" s="24">
        <f t="shared" si="10"/>
        <v>32</v>
      </c>
      <c r="P46">
        <f t="shared" si="11"/>
        <v>3139976</v>
      </c>
      <c r="Q46" s="16">
        <f>P46/10^6</f>
        <v>3.1399759999999999</v>
      </c>
      <c r="R46" s="6">
        <f t="shared" ref="R46:R53" si="18">P46/J45</f>
        <v>81.838407005838192</v>
      </c>
      <c r="S46" s="1">
        <f t="shared" si="15"/>
        <v>1000000</v>
      </c>
      <c r="T46" s="43">
        <f t="shared" si="12"/>
        <v>0.31399199999999999</v>
      </c>
      <c r="U46" s="5">
        <f t="shared" si="13"/>
        <v>3.1847945170577594</v>
      </c>
    </row>
    <row r="47" spans="1:21" x14ac:dyDescent="0.25">
      <c r="A47">
        <v>7</v>
      </c>
      <c r="C47" s="11">
        <f t="shared" si="14"/>
        <v>10000000</v>
      </c>
      <c r="D47" s="14">
        <v>664579</v>
      </c>
      <c r="E47" s="13">
        <f t="shared" si="7"/>
        <v>24</v>
      </c>
      <c r="F47" s="13">
        <f t="shared" si="8"/>
        <v>3</v>
      </c>
      <c r="G47" s="13" t="s">
        <v>12</v>
      </c>
      <c r="H47" s="13">
        <v>4</v>
      </c>
      <c r="I47" s="25" t="s">
        <v>17</v>
      </c>
      <c r="J47" s="20">
        <f t="shared" si="16"/>
        <v>2658316</v>
      </c>
      <c r="K47" s="15">
        <f>D47*H47 / 10^6</f>
        <v>2.6583160000000001</v>
      </c>
      <c r="L47" s="16" t="str">
        <f t="shared" ref="L47:L52" si="19">_xlfn.CONCAT(TEXT(K47, "0.0"), I47)</f>
        <v>2.7 MB</v>
      </c>
      <c r="M47" s="49">
        <f>C47/8/ 10^6</f>
        <v>1.25</v>
      </c>
      <c r="N47" s="47">
        <f>M47+K47</f>
        <v>3.9083160000000001</v>
      </c>
      <c r="O47" s="24">
        <f t="shared" si="10"/>
        <v>32</v>
      </c>
      <c r="P47">
        <f t="shared" si="11"/>
        <v>26583216</v>
      </c>
      <c r="Q47" s="19">
        <f>P47/10^6</f>
        <v>26.583216</v>
      </c>
      <c r="R47" s="6">
        <f t="shared" si="18"/>
        <v>84.66208056256211</v>
      </c>
      <c r="S47" s="1">
        <f t="shared" si="15"/>
        <v>10000000</v>
      </c>
      <c r="T47" s="43">
        <f t="shared" si="12"/>
        <v>0.2658316</v>
      </c>
      <c r="U47" s="5">
        <f t="shared" si="13"/>
        <v>3.7617800141141986</v>
      </c>
    </row>
    <row r="48" spans="1:21" x14ac:dyDescent="0.25">
      <c r="A48">
        <v>8</v>
      </c>
      <c r="C48" s="11">
        <f t="shared" si="14"/>
        <v>100000000</v>
      </c>
      <c r="D48" s="14">
        <v>5761455</v>
      </c>
      <c r="E48" s="13">
        <f t="shared" si="7"/>
        <v>27</v>
      </c>
      <c r="F48" s="13">
        <f t="shared" si="8"/>
        <v>4</v>
      </c>
      <c r="G48" s="13" t="s">
        <v>12</v>
      </c>
      <c r="H48" s="13">
        <v>4</v>
      </c>
      <c r="I48" s="25" t="s">
        <v>17</v>
      </c>
      <c r="J48" s="20">
        <f t="shared" si="16"/>
        <v>23045820</v>
      </c>
      <c r="K48" s="15">
        <f>D48*H48 / 10^6</f>
        <v>23.045819999999999</v>
      </c>
      <c r="L48" s="16" t="str">
        <f t="shared" si="19"/>
        <v>23.0 MB</v>
      </c>
      <c r="M48" s="49">
        <f t="shared" ref="M48:M50" si="20">C48/8/ 10^6</f>
        <v>12.5</v>
      </c>
      <c r="N48" s="47">
        <f t="shared" ref="N48:N50" si="21">M48+K48</f>
        <v>35.545819999999999</v>
      </c>
      <c r="O48" s="24">
        <f t="shared" si="10"/>
        <v>32</v>
      </c>
      <c r="P48">
        <f t="shared" si="11"/>
        <v>230458256</v>
      </c>
      <c r="Q48" s="19">
        <f t="shared" ref="Q48:Q50" si="22">P48/10^6</f>
        <v>230.45825600000001</v>
      </c>
      <c r="R48" s="6">
        <f t="shared" si="18"/>
        <v>86.693326150841358</v>
      </c>
      <c r="S48" s="1">
        <f t="shared" si="15"/>
        <v>100000000</v>
      </c>
      <c r="T48" s="43">
        <f t="shared" si="12"/>
        <v>0.2304582</v>
      </c>
      <c r="U48" s="5">
        <f t="shared" si="13"/>
        <v>4.3391816824048783</v>
      </c>
    </row>
    <row r="49" spans="1:21" x14ac:dyDescent="0.25">
      <c r="A49">
        <v>9</v>
      </c>
      <c r="B49" s="6">
        <f>C49/LN(C49)</f>
        <v>48254942.433694646</v>
      </c>
      <c r="C49" s="11">
        <f t="shared" si="14"/>
        <v>1000000000</v>
      </c>
      <c r="D49" s="14">
        <v>50847534</v>
      </c>
      <c r="E49" s="13">
        <f>_xlfn.CEILING.MATH(LOG(C49,2))</f>
        <v>30</v>
      </c>
      <c r="F49" s="13">
        <f t="shared" si="8"/>
        <v>4</v>
      </c>
      <c r="G49" s="13" t="s">
        <v>12</v>
      </c>
      <c r="H49" s="13">
        <v>4</v>
      </c>
      <c r="I49" s="25" t="s">
        <v>17</v>
      </c>
      <c r="J49" s="20">
        <f t="shared" si="16"/>
        <v>203390136</v>
      </c>
      <c r="K49" s="15">
        <f>D49*H49 / 10^6</f>
        <v>203.39013600000001</v>
      </c>
      <c r="L49" s="16" t="str">
        <f t="shared" si="19"/>
        <v>203.4 MB</v>
      </c>
      <c r="M49" s="49">
        <f t="shared" si="20"/>
        <v>125</v>
      </c>
      <c r="N49" s="47">
        <f t="shared" si="21"/>
        <v>328.39013599999998</v>
      </c>
      <c r="O49" s="24">
        <f t="shared" si="10"/>
        <v>32</v>
      </c>
      <c r="P49">
        <f t="shared" si="11"/>
        <v>2033901416</v>
      </c>
      <c r="Q49" s="19">
        <f t="shared" si="22"/>
        <v>2033.9014159999999</v>
      </c>
      <c r="R49" s="6">
        <f t="shared" si="18"/>
        <v>88.254677681245454</v>
      </c>
      <c r="S49" s="1">
        <f t="shared" si="15"/>
        <v>1000000000</v>
      </c>
      <c r="T49" s="43">
        <f t="shared" si="12"/>
        <v>0.203390136</v>
      </c>
      <c r="U49" s="5">
        <f t="shared" si="13"/>
        <v>4.9166592818444252</v>
      </c>
    </row>
    <row r="50" spans="1:21" x14ac:dyDescent="0.25">
      <c r="B50" s="6">
        <f>C50/LN(C50)</f>
        <v>193635250.54193214</v>
      </c>
      <c r="C50" s="22">
        <v>4294967295</v>
      </c>
      <c r="D50" s="17" t="s">
        <v>15</v>
      </c>
      <c r="E50" s="13">
        <f t="shared" ref="E50:E57" si="23">_xlfn.CEILING.MATH(LOG(C50,2))</f>
        <v>32</v>
      </c>
      <c r="F50" s="13">
        <f t="shared" si="8"/>
        <v>4</v>
      </c>
      <c r="G50" s="13" t="s">
        <v>12</v>
      </c>
      <c r="H50" s="13">
        <v>4</v>
      </c>
      <c r="I50" s="25" t="s">
        <v>17</v>
      </c>
      <c r="J50" s="20">
        <f>B50*H50</f>
        <v>774541002.16772854</v>
      </c>
      <c r="K50" s="15">
        <f>B50*H50 / 10^6</f>
        <v>774.54100216772849</v>
      </c>
      <c r="L50" s="21" t="str">
        <f t="shared" si="19"/>
        <v>774.5 MB</v>
      </c>
      <c r="M50" s="49">
        <f t="shared" si="20"/>
        <v>536.87091187500005</v>
      </c>
      <c r="N50" s="47">
        <f t="shared" si="21"/>
        <v>1311.4119140427285</v>
      </c>
      <c r="O50" s="24">
        <f t="shared" si="10"/>
        <v>36</v>
      </c>
      <c r="P50">
        <f>56 + (8+O50)*B50</f>
        <v>8519951079.8450136</v>
      </c>
      <c r="Q50" s="19">
        <f t="shared" si="22"/>
        <v>8519.9510798450137</v>
      </c>
      <c r="R50" s="6">
        <f t="shared" si="18"/>
        <v>41.889696557580422</v>
      </c>
      <c r="S50" s="1">
        <f t="shared" si="15"/>
        <v>4294967295</v>
      </c>
      <c r="T50" s="43">
        <f t="shared" si="12"/>
        <v>0.18033688011301341</v>
      </c>
      <c r="U50" s="5">
        <f t="shared" si="13"/>
        <v>5.5451774444213546</v>
      </c>
    </row>
    <row r="51" spans="1:21" x14ac:dyDescent="0.25">
      <c r="A51">
        <v>10</v>
      </c>
      <c r="B51" s="6">
        <f>C51/LN(C51)</f>
        <v>434294481.90325183</v>
      </c>
      <c r="C51" s="23">
        <f t="shared" si="14"/>
        <v>10000000000</v>
      </c>
      <c r="D51" s="14">
        <v>455052511</v>
      </c>
      <c r="E51" s="13">
        <f t="shared" si="23"/>
        <v>34</v>
      </c>
      <c r="F51" s="13">
        <f t="shared" si="8"/>
        <v>5</v>
      </c>
      <c r="G51" s="13" t="s">
        <v>13</v>
      </c>
      <c r="H51" s="13">
        <v>8</v>
      </c>
      <c r="I51" s="25" t="s">
        <v>18</v>
      </c>
      <c r="J51" s="20">
        <f t="shared" si="16"/>
        <v>3640420088</v>
      </c>
      <c r="K51" s="15">
        <f t="shared" ref="K51:K57" si="24">D51*H51 / 10^9</f>
        <v>3.6404200879999999</v>
      </c>
      <c r="L51" s="21" t="str">
        <f t="shared" si="19"/>
        <v>3.6 GB</v>
      </c>
      <c r="M51" s="48"/>
      <c r="N51" s="48"/>
      <c r="O51" s="24">
        <f t="shared" si="10"/>
        <v>36</v>
      </c>
      <c r="P51">
        <f>56 + (8+O51)*D51</f>
        <v>20022310540</v>
      </c>
      <c r="Q51" s="19">
        <f>P51/10^9</f>
        <v>20.022310539999999</v>
      </c>
      <c r="R51" s="6">
        <f t="shared" si="18"/>
        <v>25.850549530577499</v>
      </c>
      <c r="S51" s="1">
        <f t="shared" si="15"/>
        <v>10000000000</v>
      </c>
      <c r="T51" s="43">
        <f t="shared" si="12"/>
        <v>0.36404200879999998</v>
      </c>
      <c r="U51" s="5">
        <f t="shared" si="13"/>
        <v>2.7469357267209982</v>
      </c>
    </row>
    <row r="52" spans="1:21" x14ac:dyDescent="0.25">
      <c r="A52">
        <v>11</v>
      </c>
      <c r="C52" s="11">
        <f t="shared" si="14"/>
        <v>100000000000</v>
      </c>
      <c r="D52" s="14">
        <v>4118054813</v>
      </c>
      <c r="E52" s="13">
        <f t="shared" si="23"/>
        <v>37</v>
      </c>
      <c r="F52" s="13">
        <f t="shared" si="8"/>
        <v>5</v>
      </c>
      <c r="G52" s="13" t="s">
        <v>13</v>
      </c>
      <c r="H52" s="13">
        <v>8</v>
      </c>
      <c r="I52" s="25" t="s">
        <v>18</v>
      </c>
      <c r="J52" s="20">
        <f t="shared" si="16"/>
        <v>32944438504</v>
      </c>
      <c r="K52" s="15">
        <f t="shared" si="24"/>
        <v>32.944438503999997</v>
      </c>
      <c r="L52" s="16" t="str">
        <f t="shared" si="19"/>
        <v>32.9 GB</v>
      </c>
      <c r="M52" s="47"/>
      <c r="N52" s="47"/>
      <c r="O52" s="24">
        <f t="shared" si="10"/>
        <v>36</v>
      </c>
      <c r="P52">
        <f>56 + (8+O52)*D52</f>
        <v>181194411828</v>
      </c>
      <c r="Q52" s="19">
        <f>P52/10^9</f>
        <v>181.194411828</v>
      </c>
      <c r="R52" s="6">
        <f t="shared" si="18"/>
        <v>49.772940333253104</v>
      </c>
      <c r="S52" s="1">
        <f t="shared" si="15"/>
        <v>100000000000</v>
      </c>
      <c r="T52" s="43">
        <f t="shared" si="12"/>
        <v>0.32944438504000001</v>
      </c>
      <c r="U52" s="5">
        <f t="shared" si="13"/>
        <v>3.035413700793788</v>
      </c>
    </row>
    <row r="53" spans="1:21" x14ac:dyDescent="0.25">
      <c r="A53">
        <v>12</v>
      </c>
      <c r="C53" s="11">
        <f t="shared" si="14"/>
        <v>1000000000000</v>
      </c>
      <c r="D53" s="14">
        <v>37607912018</v>
      </c>
      <c r="E53" s="13">
        <f t="shared" si="23"/>
        <v>40</v>
      </c>
      <c r="F53" s="13">
        <f t="shared" si="8"/>
        <v>5</v>
      </c>
      <c r="G53" s="13" t="s">
        <v>13</v>
      </c>
      <c r="H53" s="13">
        <v>8</v>
      </c>
      <c r="I53" s="25" t="s">
        <v>18</v>
      </c>
      <c r="J53" s="20">
        <f t="shared" si="16"/>
        <v>300863296144</v>
      </c>
      <c r="K53" s="15">
        <f t="shared" si="24"/>
        <v>300.863296144</v>
      </c>
      <c r="L53" s="16" t="str">
        <f t="shared" ref="L53" si="25">_xlfn.CONCAT(TEXT(K53, "0,0"), I53)</f>
        <v>301 GB</v>
      </c>
      <c r="M53" s="47"/>
      <c r="N53" s="47"/>
      <c r="O53" s="24">
        <f t="shared" si="10"/>
        <v>36</v>
      </c>
      <c r="P53">
        <f>56 + (8+O53)*D53</f>
        <v>1654748128848</v>
      </c>
      <c r="Q53" s="19">
        <f>P53/10^9</f>
        <v>1654.7481288480001</v>
      </c>
      <c r="R53" s="6">
        <f t="shared" si="18"/>
        <v>50.228451416681033</v>
      </c>
      <c r="S53" s="1">
        <f t="shared" si="15"/>
        <v>1000000000000</v>
      </c>
      <c r="T53" s="43">
        <f t="shared" si="12"/>
        <v>0.30086329614399998</v>
      </c>
      <c r="U53" s="5">
        <f t="shared" si="13"/>
        <v>3.3237686777232454</v>
      </c>
    </row>
    <row r="54" spans="1:21" x14ac:dyDescent="0.25">
      <c r="A54">
        <v>13</v>
      </c>
      <c r="C54" s="11">
        <f t="shared" si="14"/>
        <v>10000000000000</v>
      </c>
      <c r="D54" s="14">
        <v>346065536839</v>
      </c>
      <c r="E54" s="13">
        <f t="shared" si="23"/>
        <v>44</v>
      </c>
      <c r="F54" s="13">
        <f t="shared" si="8"/>
        <v>6</v>
      </c>
      <c r="G54" s="13" t="s">
        <v>13</v>
      </c>
      <c r="H54" s="13">
        <v>8</v>
      </c>
      <c r="I54" s="25" t="s">
        <v>14</v>
      </c>
      <c r="J54" s="20">
        <f t="shared" si="16"/>
        <v>2768524294712</v>
      </c>
      <c r="K54" s="15">
        <f t="shared" si="24"/>
        <v>2768.524294712</v>
      </c>
      <c r="L54" s="16" t="str">
        <f>_xlfn.CONCAT(TEXT(K54, "0,0"), I54)</f>
        <v>2,769GB</v>
      </c>
      <c r="M54" s="47"/>
      <c r="N54" s="47"/>
      <c r="O54" s="24">
        <f t="shared" si="10"/>
        <v>36</v>
      </c>
      <c r="S54" s="1">
        <f t="shared" si="15"/>
        <v>10000000000000</v>
      </c>
      <c r="T54" s="43">
        <f t="shared" si="12"/>
        <v>0.27685242947119998</v>
      </c>
      <c r="U54" s="5">
        <f t="shared" si="13"/>
        <v>3.6120325976912784</v>
      </c>
    </row>
    <row r="55" spans="1:21" x14ac:dyDescent="0.25">
      <c r="A55">
        <v>14</v>
      </c>
      <c r="C55" s="11">
        <f t="shared" si="14"/>
        <v>100000000000000</v>
      </c>
      <c r="D55" s="14">
        <v>3204941750802</v>
      </c>
      <c r="E55" s="13">
        <f t="shared" si="23"/>
        <v>47</v>
      </c>
      <c r="F55" s="13">
        <f t="shared" si="8"/>
        <v>6</v>
      </c>
      <c r="G55" s="13" t="s">
        <v>13</v>
      </c>
      <c r="H55" s="13">
        <v>8</v>
      </c>
      <c r="I55" s="25" t="s">
        <v>14</v>
      </c>
      <c r="J55" s="20">
        <f>D55*H55</f>
        <v>25639534006416</v>
      </c>
      <c r="K55" s="15">
        <f t="shared" si="24"/>
        <v>25639.534006416001</v>
      </c>
      <c r="L55" s="16" t="str">
        <f>_xlfn.CONCAT(TEXT(K55, "0,0"), I55)</f>
        <v>25,640GB</v>
      </c>
      <c r="M55" s="47"/>
      <c r="N55" s="47"/>
      <c r="O55" s="24">
        <f t="shared" si="10"/>
        <v>36</v>
      </c>
      <c r="S55" s="1">
        <f t="shared" si="15"/>
        <v>100000000000000</v>
      </c>
      <c r="T55" s="43">
        <f t="shared" si="12"/>
        <v>0.25639534006415998</v>
      </c>
      <c r="U55" s="5">
        <f t="shared" si="13"/>
        <v>3.9002268908232165</v>
      </c>
    </row>
    <row r="56" spans="1:21" x14ac:dyDescent="0.25">
      <c r="A56">
        <v>15</v>
      </c>
      <c r="C56" s="11">
        <f t="shared" si="14"/>
        <v>1000000000000000</v>
      </c>
      <c r="D56" s="14">
        <v>29844570422669</v>
      </c>
      <c r="E56" s="13">
        <f t="shared" si="23"/>
        <v>50</v>
      </c>
      <c r="F56" s="13">
        <f t="shared" si="8"/>
        <v>7</v>
      </c>
      <c r="G56" s="13" t="s">
        <v>13</v>
      </c>
      <c r="H56" s="13">
        <v>8</v>
      </c>
      <c r="I56" s="25" t="s">
        <v>14</v>
      </c>
      <c r="J56" s="20">
        <f t="shared" si="16"/>
        <v>238756563381352</v>
      </c>
      <c r="K56" s="15">
        <f t="shared" si="24"/>
        <v>238756.563381352</v>
      </c>
      <c r="L56" s="16" t="str">
        <f>_xlfn.CONCAT(TEXT(K56, "0,0"), I56)</f>
        <v>238,757GB</v>
      </c>
      <c r="M56" s="47"/>
      <c r="N56" s="47"/>
      <c r="O56" s="24">
        <f t="shared" si="10"/>
        <v>36</v>
      </c>
      <c r="S56" s="1">
        <f t="shared" si="15"/>
        <v>1000000000000000</v>
      </c>
      <c r="T56" s="43">
        <f t="shared" si="12"/>
        <v>0.23875656338135201</v>
      </c>
      <c r="U56" s="5">
        <f t="shared" si="13"/>
        <v>4.188366534673051</v>
      </c>
    </row>
    <row r="57" spans="1:21" x14ac:dyDescent="0.25">
      <c r="A57">
        <v>16</v>
      </c>
      <c r="C57" s="11">
        <f t="shared" si="14"/>
        <v>1E+16</v>
      </c>
      <c r="D57" s="14">
        <v>279238341033925</v>
      </c>
      <c r="E57" s="13">
        <f t="shared" si="23"/>
        <v>54</v>
      </c>
      <c r="F57" s="13">
        <f t="shared" si="8"/>
        <v>7</v>
      </c>
      <c r="G57" s="13" t="s">
        <v>13</v>
      </c>
      <c r="H57" s="13">
        <v>8</v>
      </c>
      <c r="I57" s="25" t="s">
        <v>14</v>
      </c>
      <c r="J57" s="20">
        <f t="shared" si="16"/>
        <v>2233906728271400</v>
      </c>
      <c r="K57" s="15">
        <f t="shared" si="24"/>
        <v>2233906.7282714001</v>
      </c>
      <c r="L57" s="16" t="str">
        <f>_xlfn.CONCAT(TEXT(K57, "0,0"), I57)</f>
        <v>2,233,907GB</v>
      </c>
      <c r="M57" s="47"/>
      <c r="N57" s="47"/>
      <c r="O57" s="24">
        <f t="shared" si="10"/>
        <v>36</v>
      </c>
      <c r="S57" s="1">
        <f t="shared" si="15"/>
        <v>1E+16</v>
      </c>
      <c r="T57" s="43">
        <f t="shared" si="12"/>
        <v>0.22339067282714001</v>
      </c>
      <c r="U57" s="5">
        <f t="shared" si="13"/>
        <v>4.4764626353661656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for report</vt:lpstr>
      <vt:lpstr>All unhidden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2026-06-29T08:02:47Z</dcterms:created>
  <dcterms:modified xsi:type="dcterms:W3CDTF">2026-07-03T22:28:39Z</dcterms:modified>
</cp:coreProperties>
</file>